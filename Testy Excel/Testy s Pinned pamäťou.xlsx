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CUDA_LPM_Test\CUDA_LPM_Test\Testy Excel\"/>
    </mc:Choice>
  </mc:AlternateContent>
  <xr:revisionPtr revIDLastSave="0" documentId="13_ncr:1_{C3450A81-074E-4B86-828A-BAAA26C14A79}" xr6:coauthVersionLast="47" xr6:coauthVersionMax="47" xr10:uidLastSave="{00000000-0000-0000-0000-000000000000}"/>
  <bookViews>
    <workbookView xWindow="-120" yWindow="-120" windowWidth="29040" windowHeight="15720" xr2:uid="{AB859AB6-6E05-4107-B651-29AECD7A58CD}"/>
  </bookViews>
  <sheets>
    <sheet name="Hárok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8" i="1" l="1"/>
  <c r="O179" i="1"/>
  <c r="O170" i="1"/>
  <c r="P97" i="1"/>
  <c r="P147" i="1"/>
  <c r="P138" i="1"/>
  <c r="P129" i="1"/>
  <c r="P106" i="1"/>
  <c r="P88" i="1"/>
  <c r="O47" i="1"/>
  <c r="O65" i="1"/>
  <c r="O56" i="1"/>
  <c r="O24" i="1"/>
  <c r="O15" i="1"/>
  <c r="O6" i="1"/>
  <c r="N6" i="1"/>
  <c r="M129" i="1"/>
  <c r="M138" i="1"/>
  <c r="M147" i="1"/>
  <c r="M106" i="1"/>
  <c r="M97" i="1"/>
  <c r="M88" i="1"/>
  <c r="N179" i="1"/>
  <c r="N170" i="1"/>
  <c r="N188" i="1"/>
  <c r="N65" i="1"/>
  <c r="N56" i="1"/>
  <c r="N47" i="1"/>
  <c r="N24" i="1"/>
  <c r="N15" i="1"/>
</calcChain>
</file>

<file path=xl/sharedStrings.xml><?xml version="1.0" encoding="utf-8"?>
<sst xmlns="http://schemas.openxmlformats.org/spreadsheetml/2006/main" count="570" uniqueCount="41">
  <si>
    <t>Pakety</t>
  </si>
  <si>
    <t>ENERGETICKA EFEKTIVITA (Mpk/J) GPU</t>
  </si>
  <si>
    <t>ENERGETICKA EFEKTIVITA (Mpk/J) CPU</t>
  </si>
  <si>
    <t>Zlepsenie</t>
  </si>
  <si>
    <t>Zrychlenie</t>
  </si>
  <si>
    <t>End-to-End</t>
  </si>
  <si>
    <t>Time (ms)</t>
  </si>
  <si>
    <t>Throughput (Mpps)</t>
  </si>
  <si>
    <t>Status (800G)</t>
  </si>
  <si>
    <t>FAIL</t>
  </si>
  <si>
    <t>OK</t>
  </si>
  <si>
    <t>Priemerna systemova latencia (ns)</t>
  </si>
  <si>
    <t>Cas (Transfer + Kernel) (ms)</t>
  </si>
  <si>
    <t>Systemova priepustnost (Mpps)</t>
  </si>
  <si>
    <t>IPv4 Global Memory</t>
  </si>
  <si>
    <t>IPv4 Texture Cache</t>
  </si>
  <si>
    <t>IPv6 Shared Memory</t>
  </si>
  <si>
    <t>GPU STREAM TEST</t>
  </si>
  <si>
    <t>Streams</t>
  </si>
  <si>
    <t>CPU SCALABILITY TEST</t>
  </si>
  <si>
    <t>Threads</t>
  </si>
  <si>
    <t xml:space="preserve"> Latency (ns)</t>
  </si>
  <si>
    <t>CPU 16-vlakien (ms)</t>
  </si>
  <si>
    <t>GPU SWEEP TEST</t>
  </si>
  <si>
    <t>Batch size</t>
  </si>
  <si>
    <t xml:space="preserve"> </t>
  </si>
  <si>
    <t>IPv6 Global Memory Single Bit</t>
  </si>
  <si>
    <t>IPv4 Global Single Bit</t>
  </si>
  <si>
    <t>GPU</t>
  </si>
  <si>
    <t>Využitie gpu (%)</t>
  </si>
  <si>
    <t>Spotreba energie (W)</t>
  </si>
  <si>
    <t>Využitie pamäť (%)</t>
  </si>
  <si>
    <t>0,7243904/</t>
  </si>
  <si>
    <t>Celkové zaťaženie CPU [%]</t>
  </si>
  <si>
    <t>Celkové využitie CPU [%]</t>
  </si>
  <si>
    <t>Celková spotreba CPU [W]</t>
  </si>
  <si>
    <t>CPU</t>
  </si>
  <si>
    <t>PAMATOVA STOPA STROMU</t>
  </si>
  <si>
    <t>Počet uzlov v strome</t>
  </si>
  <si>
    <t>Ceľková veľkosť (MB)</t>
  </si>
  <si>
    <t>Veľkosť jedného uzla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</si>
</sst>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FBFE1"/>
        <bgColor indexed="64"/>
      </patternFill>
    </fill>
    <fill>
      <patternFill patternType="solid">
        <fgColor rgb="FFF5A5A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3" fontId="3" fillId="0" borderId="5" xfId="0" applyNumberFormat="1" applyFont="1" applyBorder="1"/>
    <xf numFmtId="3" fontId="3" fillId="0" borderId="9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6" xfId="0" applyFont="1" applyBorder="1"/>
    <xf numFmtId="0" fontId="3" fillId="0" borderId="15" xfId="0" applyFont="1" applyBorder="1"/>
    <xf numFmtId="0" fontId="3" fillId="0" borderId="17" xfId="0" applyFont="1" applyBorder="1"/>
    <xf numFmtId="0" fontId="3" fillId="0" borderId="9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0" xfId="0" applyFont="1"/>
    <xf numFmtId="0" fontId="3" fillId="0" borderId="20" xfId="0" applyFont="1" applyBorder="1"/>
    <xf numFmtId="3" fontId="3" fillId="0" borderId="15" xfId="0" applyNumberFormat="1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3" fontId="3" fillId="0" borderId="25" xfId="0" applyNumberFormat="1" applyFont="1" applyBorder="1"/>
    <xf numFmtId="3" fontId="3" fillId="0" borderId="20" xfId="0" applyNumberFormat="1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8" xfId="0" applyFont="1" applyBorder="1"/>
    <xf numFmtId="0" fontId="5" fillId="0" borderId="24" xfId="0" applyFont="1" applyBorder="1"/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colors>
    <mruColors>
      <color rgb="FFF5A5A5"/>
      <color rgb="FFFFFFFF"/>
      <color rgb="FFCFB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C71B-CAF8-4736-B940-AF6FE9464C8D}">
  <dimension ref="A1:R203"/>
  <sheetViews>
    <sheetView tabSelected="1" topLeftCell="A67" zoomScale="40" zoomScaleNormal="40" workbookViewId="0">
      <selection activeCell="G79" sqref="G79"/>
    </sheetView>
  </sheetViews>
  <sheetFormatPr defaultRowHeight="15" x14ac:dyDescent="0.25"/>
  <cols>
    <col min="1" max="1" width="16.5703125" customWidth="1"/>
    <col min="2" max="2" width="13.7109375" customWidth="1"/>
    <col min="3" max="3" width="21.7109375" customWidth="1"/>
    <col min="4" max="4" width="19.28515625" customWidth="1"/>
    <col min="5" max="5" width="13.42578125" customWidth="1"/>
    <col min="6" max="6" width="39.7109375" customWidth="1"/>
    <col min="7" max="7" width="34.7109375" customWidth="1"/>
    <col min="8" max="8" width="38.28515625" customWidth="1"/>
    <col min="9" max="9" width="16.5703125" customWidth="1"/>
    <col min="10" max="10" width="19.140625" customWidth="1"/>
    <col min="11" max="11" width="39" customWidth="1"/>
    <col min="12" max="12" width="31.5703125" customWidth="1"/>
    <col min="13" max="13" width="39" customWidth="1"/>
    <col min="14" max="14" width="40.140625" customWidth="1"/>
    <col min="15" max="15" width="37" customWidth="1"/>
    <col min="16" max="16" width="37.42578125" customWidth="1"/>
    <col min="17" max="17" width="18.140625" customWidth="1"/>
    <col min="18" max="18" width="10.7109375" customWidth="1"/>
  </cols>
  <sheetData>
    <row r="1" spans="1:18" ht="15" customHeight="1" x14ac:dyDescent="0.25">
      <c r="A1" s="46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8" ht="15" customHeight="1" thickBot="1" x14ac:dyDescent="0.3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pans="1:18" ht="15" customHeight="1" x14ac:dyDescent="0.25">
      <c r="A3" s="52" t="s">
        <v>19</v>
      </c>
      <c r="B3" s="53"/>
      <c r="C3" s="53"/>
      <c r="D3" s="54"/>
      <c r="E3" s="55" t="s">
        <v>17</v>
      </c>
      <c r="F3" s="56"/>
      <c r="G3" s="56"/>
      <c r="H3" s="57"/>
      <c r="I3" s="58" t="s">
        <v>5</v>
      </c>
      <c r="J3" s="59"/>
      <c r="K3" s="59"/>
      <c r="L3" s="59"/>
      <c r="M3" s="59"/>
      <c r="N3" s="59"/>
      <c r="O3" s="59"/>
      <c r="P3" s="59"/>
      <c r="Q3" s="59"/>
      <c r="R3" s="60"/>
    </row>
    <row r="4" spans="1:18" ht="15" customHeight="1" thickBot="1" x14ac:dyDescent="0.3">
      <c r="A4" s="52"/>
      <c r="B4" s="53"/>
      <c r="C4" s="53"/>
      <c r="D4" s="54"/>
      <c r="E4" s="55"/>
      <c r="F4" s="56"/>
      <c r="G4" s="56"/>
      <c r="H4" s="57"/>
      <c r="I4" s="61"/>
      <c r="J4" s="62"/>
      <c r="K4" s="62"/>
      <c r="L4" s="62"/>
      <c r="M4" s="62"/>
      <c r="N4" s="62"/>
      <c r="O4" s="62"/>
      <c r="P4" s="62"/>
      <c r="Q4" s="62"/>
      <c r="R4" s="63"/>
    </row>
    <row r="5" spans="1:18" ht="15" customHeight="1" x14ac:dyDescent="0.25">
      <c r="A5" s="9" t="s">
        <v>20</v>
      </c>
      <c r="B5" s="8" t="s">
        <v>6</v>
      </c>
      <c r="C5" s="8" t="s">
        <v>7</v>
      </c>
      <c r="D5" s="13" t="s">
        <v>21</v>
      </c>
      <c r="E5" s="9" t="s">
        <v>18</v>
      </c>
      <c r="F5" s="8" t="s">
        <v>6</v>
      </c>
      <c r="G5" s="8" t="s">
        <v>7</v>
      </c>
      <c r="H5" s="13" t="s">
        <v>8</v>
      </c>
      <c r="I5" s="9" t="s">
        <v>0</v>
      </c>
      <c r="J5" s="8" t="s">
        <v>18</v>
      </c>
      <c r="K5" s="8" t="s">
        <v>11</v>
      </c>
      <c r="L5" s="8" t="s">
        <v>12</v>
      </c>
      <c r="M5" s="8" t="s">
        <v>13</v>
      </c>
      <c r="N5" s="8" t="s">
        <v>1</v>
      </c>
      <c r="O5" s="8" t="s">
        <v>2</v>
      </c>
      <c r="P5" s="8" t="s">
        <v>3</v>
      </c>
      <c r="Q5" s="8" t="s">
        <v>22</v>
      </c>
      <c r="R5" s="10" t="s">
        <v>4</v>
      </c>
    </row>
    <row r="6" spans="1:18" ht="15.75" customHeight="1" thickBot="1" x14ac:dyDescent="0.3">
      <c r="A6" s="1">
        <v>1</v>
      </c>
      <c r="B6" s="2">
        <v>10.854039999999999</v>
      </c>
      <c r="C6" s="2">
        <v>92.153479200000007</v>
      </c>
      <c r="D6" s="12">
        <v>10.854039999999999</v>
      </c>
      <c r="E6" s="1">
        <v>2</v>
      </c>
      <c r="F6" s="2">
        <v>1.0095487999999999</v>
      </c>
      <c r="G6" s="2">
        <v>996.17075199999999</v>
      </c>
      <c r="H6" s="12" t="s">
        <v>9</v>
      </c>
      <c r="I6" s="21">
        <v>1000000</v>
      </c>
      <c r="J6" s="22">
        <v>2</v>
      </c>
      <c r="K6" s="15">
        <v>0.72439039999999999</v>
      </c>
      <c r="L6" s="15" t="s">
        <v>32</v>
      </c>
      <c r="M6" s="15">
        <v>1380.9224610000001</v>
      </c>
      <c r="N6" s="15">
        <f>SUM(M6/K9)</f>
        <v>17.322347265347609</v>
      </c>
      <c r="O6" s="6">
        <f>SUM(((I6/(Q6/1000))/1000000)/N9)</f>
        <v>6.4291372207738737</v>
      </c>
      <c r="P6" s="6">
        <v>1.0394859999999999</v>
      </c>
      <c r="Q6" s="6">
        <v>2.4900199999999999</v>
      </c>
      <c r="R6" s="7">
        <v>3.4383002</v>
      </c>
    </row>
    <row r="7" spans="1:18" ht="15.75" x14ac:dyDescent="0.25">
      <c r="A7" s="1">
        <v>2</v>
      </c>
      <c r="B7" s="2">
        <v>5.8848599999999998</v>
      </c>
      <c r="C7" s="2">
        <v>169.98089300000001</v>
      </c>
      <c r="D7" s="12">
        <v>5.8848599999999998</v>
      </c>
      <c r="E7" s="1">
        <v>3</v>
      </c>
      <c r="F7" s="2">
        <v>0.62995199999999996</v>
      </c>
      <c r="G7" s="2">
        <v>1587.758276</v>
      </c>
      <c r="H7" s="12" t="s">
        <v>10</v>
      </c>
      <c r="I7" s="37" t="s">
        <v>28</v>
      </c>
      <c r="J7" s="38"/>
      <c r="K7" s="39"/>
      <c r="L7" s="37" t="s">
        <v>36</v>
      </c>
      <c r="M7" s="38"/>
      <c r="N7" s="39"/>
    </row>
    <row r="8" spans="1:18" ht="16.5" thickBot="1" x14ac:dyDescent="0.3">
      <c r="A8" s="4">
        <v>4</v>
      </c>
      <c r="B8" s="2">
        <v>4.1130599999999999</v>
      </c>
      <c r="C8" s="2">
        <v>251.06622920000001</v>
      </c>
      <c r="D8" s="12">
        <v>4.1130599999999999</v>
      </c>
      <c r="E8" s="11">
        <v>4</v>
      </c>
      <c r="F8" s="6">
        <v>0.61333760000000004</v>
      </c>
      <c r="G8" s="6">
        <v>1639.2028319999999</v>
      </c>
      <c r="H8" s="20" t="s">
        <v>10</v>
      </c>
      <c r="I8" s="23" t="s">
        <v>29</v>
      </c>
      <c r="J8" s="24" t="s">
        <v>31</v>
      </c>
      <c r="K8" s="29" t="s">
        <v>30</v>
      </c>
      <c r="L8" s="23" t="s">
        <v>33</v>
      </c>
      <c r="M8" s="24" t="s">
        <v>34</v>
      </c>
      <c r="N8" s="25" t="s">
        <v>35</v>
      </c>
    </row>
    <row r="9" spans="1:18" ht="16.5" thickBot="1" x14ac:dyDescent="0.3">
      <c r="A9" s="1">
        <v>8</v>
      </c>
      <c r="B9" s="2">
        <v>3.0471200000000001</v>
      </c>
      <c r="C9" s="2">
        <v>332.25061640000001</v>
      </c>
      <c r="D9" s="3">
        <v>3.0471200000000001</v>
      </c>
      <c r="I9" s="26">
        <v>62</v>
      </c>
      <c r="J9" s="27">
        <v>12</v>
      </c>
      <c r="K9" s="30">
        <v>79.719130430000007</v>
      </c>
      <c r="L9" s="26">
        <v>39.633333329999999</v>
      </c>
      <c r="M9" s="27">
        <v>44.922222220000002</v>
      </c>
      <c r="N9" s="28">
        <v>62.46611111</v>
      </c>
    </row>
    <row r="10" spans="1:18" ht="16.5" thickBot="1" x14ac:dyDescent="0.3">
      <c r="A10" s="11">
        <v>16</v>
      </c>
      <c r="B10" s="6">
        <v>3.03302</v>
      </c>
      <c r="C10" s="6">
        <v>332.69125380000003</v>
      </c>
      <c r="D10" s="7">
        <v>3.03302</v>
      </c>
    </row>
    <row r="11" spans="1:18" ht="15.75" thickBot="1" x14ac:dyDescent="0.3"/>
    <row r="12" spans="1:18" ht="15" customHeight="1" x14ac:dyDescent="0.25">
      <c r="A12" s="64" t="s">
        <v>19</v>
      </c>
      <c r="B12" s="65"/>
      <c r="C12" s="65"/>
      <c r="D12" s="66"/>
      <c r="E12" s="70" t="s">
        <v>17</v>
      </c>
      <c r="F12" s="71"/>
      <c r="G12" s="71"/>
      <c r="H12" s="72"/>
      <c r="I12" s="58" t="s">
        <v>5</v>
      </c>
      <c r="J12" s="59"/>
      <c r="K12" s="59"/>
      <c r="L12" s="59"/>
      <c r="M12" s="59"/>
      <c r="N12" s="59"/>
      <c r="O12" s="59"/>
      <c r="P12" s="59"/>
      <c r="Q12" s="59"/>
      <c r="R12" s="60"/>
    </row>
    <row r="13" spans="1:18" ht="15" customHeight="1" thickBot="1" x14ac:dyDescent="0.3">
      <c r="A13" s="67"/>
      <c r="B13" s="68"/>
      <c r="C13" s="68"/>
      <c r="D13" s="69"/>
      <c r="E13" s="73"/>
      <c r="F13" s="74"/>
      <c r="G13" s="74"/>
      <c r="H13" s="75"/>
      <c r="I13" s="61"/>
      <c r="J13" s="62"/>
      <c r="K13" s="62"/>
      <c r="L13" s="62"/>
      <c r="M13" s="62"/>
      <c r="N13" s="62"/>
      <c r="O13" s="62"/>
      <c r="P13" s="62"/>
      <c r="Q13" s="62"/>
      <c r="R13" s="63"/>
    </row>
    <row r="14" spans="1:18" ht="15" customHeight="1" x14ac:dyDescent="0.25">
      <c r="A14" s="9" t="s">
        <v>20</v>
      </c>
      <c r="B14" s="8" t="s">
        <v>6</v>
      </c>
      <c r="C14" s="8" t="s">
        <v>7</v>
      </c>
      <c r="D14" s="10" t="s">
        <v>21</v>
      </c>
      <c r="E14" s="9" t="s">
        <v>18</v>
      </c>
      <c r="F14" s="8" t="s">
        <v>6</v>
      </c>
      <c r="G14" s="8" t="s">
        <v>7</v>
      </c>
      <c r="H14" s="13" t="s">
        <v>8</v>
      </c>
      <c r="I14" s="9" t="s">
        <v>0</v>
      </c>
      <c r="J14" s="8" t="s">
        <v>18</v>
      </c>
      <c r="K14" s="8" t="s">
        <v>11</v>
      </c>
      <c r="L14" s="8" t="s">
        <v>12</v>
      </c>
      <c r="M14" s="8" t="s">
        <v>13</v>
      </c>
      <c r="N14" s="8" t="s">
        <v>1</v>
      </c>
      <c r="O14" s="8" t="s">
        <v>2</v>
      </c>
      <c r="P14" s="8" t="s">
        <v>3</v>
      </c>
      <c r="Q14" s="8" t="s">
        <v>22</v>
      </c>
      <c r="R14" s="10" t="s">
        <v>4</v>
      </c>
    </row>
    <row r="15" spans="1:18" ht="15" customHeight="1" thickBot="1" x14ac:dyDescent="0.3">
      <c r="A15" s="1">
        <v>1</v>
      </c>
      <c r="B15" s="2">
        <v>53.830359399999999</v>
      </c>
      <c r="C15" s="2">
        <v>92.887226999999996</v>
      </c>
      <c r="D15" s="3">
        <v>10.766071999999999</v>
      </c>
      <c r="E15" s="1">
        <v>2</v>
      </c>
      <c r="F15" s="2">
        <v>2.9334912000000002</v>
      </c>
      <c r="G15" s="2">
        <v>1704.609888</v>
      </c>
      <c r="H15" s="12" t="s">
        <v>10</v>
      </c>
      <c r="I15" s="21">
        <v>5000000</v>
      </c>
      <c r="J15" s="22">
        <v>2</v>
      </c>
      <c r="K15" s="15">
        <v>0.59192579999999995</v>
      </c>
      <c r="L15" s="15">
        <v>2.9596287999999999</v>
      </c>
      <c r="M15" s="15">
        <v>1689.5500489999999</v>
      </c>
      <c r="N15" s="15">
        <f>SUM(M15/K18)</f>
        <v>18.197355872322149</v>
      </c>
      <c r="O15" s="6">
        <f>SUM(((I15/(Q15/1000))/1000000)/N18)</f>
        <v>6.2165832960539475</v>
      </c>
      <c r="P15" s="6">
        <v>1.2329821999999999</v>
      </c>
      <c r="Q15" s="6">
        <v>12.07124</v>
      </c>
      <c r="R15" s="7">
        <v>4.0783252000000001</v>
      </c>
    </row>
    <row r="16" spans="1:18" ht="15.75" x14ac:dyDescent="0.25">
      <c r="A16" s="1">
        <v>2</v>
      </c>
      <c r="B16" s="2">
        <v>30.948640000000001</v>
      </c>
      <c r="C16" s="2">
        <v>162.18687739999999</v>
      </c>
      <c r="D16" s="3">
        <v>6.1897279999999997</v>
      </c>
      <c r="E16" s="1">
        <v>3</v>
      </c>
      <c r="F16" s="2">
        <v>2.6586495999999999</v>
      </c>
      <c r="G16" s="2">
        <v>1882.6621829999999</v>
      </c>
      <c r="H16" s="12" t="s">
        <v>10</v>
      </c>
      <c r="I16" s="37" t="s">
        <v>28</v>
      </c>
      <c r="J16" s="38"/>
      <c r="K16" s="39"/>
      <c r="L16" s="37" t="s">
        <v>36</v>
      </c>
      <c r="M16" s="38"/>
      <c r="N16" s="39"/>
    </row>
    <row r="17" spans="1:18" ht="15" customHeight="1" thickBot="1" x14ac:dyDescent="0.3">
      <c r="A17" s="4">
        <v>4</v>
      </c>
      <c r="B17" s="2">
        <v>18.143880599999999</v>
      </c>
      <c r="C17" s="2">
        <v>275.69964620000002</v>
      </c>
      <c r="D17" s="3">
        <v>3.6287759999999998</v>
      </c>
      <c r="E17" s="11">
        <v>4</v>
      </c>
      <c r="F17" s="6">
        <v>2.6143744</v>
      </c>
      <c r="G17" s="6">
        <v>1925.6290039999999</v>
      </c>
      <c r="H17" s="20" t="s">
        <v>10</v>
      </c>
      <c r="I17" s="23" t="s">
        <v>29</v>
      </c>
      <c r="J17" s="24" t="s">
        <v>31</v>
      </c>
      <c r="K17" s="29" t="s">
        <v>30</v>
      </c>
      <c r="L17" s="23" t="s">
        <v>33</v>
      </c>
      <c r="M17" s="24" t="s">
        <v>34</v>
      </c>
      <c r="N17" s="25" t="s">
        <v>35</v>
      </c>
    </row>
    <row r="18" spans="1:18" ht="16.5" thickBot="1" x14ac:dyDescent="0.3">
      <c r="A18" s="1">
        <v>8</v>
      </c>
      <c r="B18" s="2">
        <v>12.195</v>
      </c>
      <c r="C18" s="2">
        <v>410.29752200000001</v>
      </c>
      <c r="D18" s="3">
        <v>2.4390000000000001</v>
      </c>
      <c r="I18" s="26">
        <v>60.409090910000003</v>
      </c>
      <c r="J18" s="27">
        <v>12.545454550000001</v>
      </c>
      <c r="K18" s="30">
        <v>92.845909090000006</v>
      </c>
      <c r="L18" s="26">
        <v>70.582352940000007</v>
      </c>
      <c r="M18" s="27">
        <v>79.91176471</v>
      </c>
      <c r="N18" s="28">
        <v>66.629470589999997</v>
      </c>
    </row>
    <row r="19" spans="1:18" ht="16.5" thickBot="1" x14ac:dyDescent="0.3">
      <c r="A19" s="11">
        <v>16</v>
      </c>
      <c r="B19" s="6">
        <v>10.87528</v>
      </c>
      <c r="C19" s="6">
        <v>461.10411399999998</v>
      </c>
      <c r="D19" s="7">
        <v>2.1750560000000001</v>
      </c>
    </row>
    <row r="20" spans="1:18" ht="15.75" thickBot="1" x14ac:dyDescent="0.3"/>
    <row r="21" spans="1:18" ht="15" customHeight="1" x14ac:dyDescent="0.25">
      <c r="A21" s="64" t="s">
        <v>19</v>
      </c>
      <c r="B21" s="65"/>
      <c r="C21" s="65"/>
      <c r="D21" s="66"/>
      <c r="E21" s="70" t="s">
        <v>17</v>
      </c>
      <c r="F21" s="71"/>
      <c r="G21" s="71"/>
      <c r="H21" s="72"/>
      <c r="I21" s="58" t="s">
        <v>5</v>
      </c>
      <c r="J21" s="59"/>
      <c r="K21" s="59"/>
      <c r="L21" s="59"/>
      <c r="M21" s="59"/>
      <c r="N21" s="59"/>
      <c r="O21" s="59"/>
      <c r="P21" s="59"/>
      <c r="Q21" s="59"/>
      <c r="R21" s="60"/>
    </row>
    <row r="22" spans="1:18" ht="15.75" customHeight="1" thickBot="1" x14ac:dyDescent="0.3">
      <c r="A22" s="67"/>
      <c r="B22" s="68"/>
      <c r="C22" s="68"/>
      <c r="D22" s="69"/>
      <c r="E22" s="73"/>
      <c r="F22" s="74"/>
      <c r="G22" s="74"/>
      <c r="H22" s="75"/>
      <c r="I22" s="61"/>
      <c r="J22" s="62"/>
      <c r="K22" s="62"/>
      <c r="L22" s="62"/>
      <c r="M22" s="62"/>
      <c r="N22" s="62"/>
      <c r="O22" s="62"/>
      <c r="P22" s="62"/>
      <c r="Q22" s="62"/>
      <c r="R22" s="63"/>
    </row>
    <row r="23" spans="1:18" ht="15" customHeight="1" x14ac:dyDescent="0.25">
      <c r="A23" s="9" t="s">
        <v>20</v>
      </c>
      <c r="B23" s="8" t="s">
        <v>6</v>
      </c>
      <c r="C23" s="8" t="s">
        <v>7</v>
      </c>
      <c r="D23" s="10" t="s">
        <v>21</v>
      </c>
      <c r="E23" s="9" t="s">
        <v>18</v>
      </c>
      <c r="F23" s="8" t="s">
        <v>6</v>
      </c>
      <c r="G23" s="8" t="s">
        <v>7</v>
      </c>
      <c r="H23" s="13" t="s">
        <v>8</v>
      </c>
      <c r="I23" s="9" t="s">
        <v>0</v>
      </c>
      <c r="J23" s="8" t="s">
        <v>18</v>
      </c>
      <c r="K23" s="8" t="s">
        <v>11</v>
      </c>
      <c r="L23" s="8" t="s">
        <v>12</v>
      </c>
      <c r="M23" s="8" t="s">
        <v>13</v>
      </c>
      <c r="N23" s="8" t="s">
        <v>1</v>
      </c>
      <c r="O23" s="8" t="s">
        <v>2</v>
      </c>
      <c r="P23" s="8" t="s">
        <v>3</v>
      </c>
      <c r="Q23" s="8" t="s">
        <v>22</v>
      </c>
      <c r="R23" s="10" t="s">
        <v>4</v>
      </c>
    </row>
    <row r="24" spans="1:18" ht="15.75" customHeight="1" thickBot="1" x14ac:dyDescent="0.3">
      <c r="A24" s="1">
        <v>1</v>
      </c>
      <c r="B24" s="2">
        <v>106.698779</v>
      </c>
      <c r="C24" s="2">
        <v>94.517028800000006</v>
      </c>
      <c r="D24" s="3">
        <v>10.6698776</v>
      </c>
      <c r="E24" s="1">
        <v>2</v>
      </c>
      <c r="F24" s="2">
        <v>5.7175295999999998</v>
      </c>
      <c r="G24" s="2">
        <v>1749.0791019999999</v>
      </c>
      <c r="H24" s="12" t="s">
        <v>10</v>
      </c>
      <c r="I24" s="21">
        <v>10000000</v>
      </c>
      <c r="J24" s="22">
        <v>2</v>
      </c>
      <c r="K24" s="15">
        <v>0.57341520000000001</v>
      </c>
      <c r="L24" s="15">
        <v>5.7341503999999999</v>
      </c>
      <c r="M24" s="15">
        <v>1744.099829</v>
      </c>
      <c r="N24" s="15">
        <f>SUM(M24/K27)</f>
        <v>17.762188616338889</v>
      </c>
      <c r="O24" s="6">
        <f>SUM(((I24/(Q24/1000))/1000000)/N27)</f>
        <v>6.7113229612494401</v>
      </c>
      <c r="P24" s="6">
        <v>1.1878268000000001</v>
      </c>
      <c r="Q24" s="6">
        <v>22.5368198</v>
      </c>
      <c r="R24" s="7">
        <v>3.9289662000000001</v>
      </c>
    </row>
    <row r="25" spans="1:18" ht="15.75" x14ac:dyDescent="0.25">
      <c r="A25" s="1">
        <v>2</v>
      </c>
      <c r="B25" s="2">
        <v>58.118820200000002</v>
      </c>
      <c r="C25" s="2">
        <v>173.9696016</v>
      </c>
      <c r="D25" s="3">
        <v>5.8118819999999998</v>
      </c>
      <c r="E25" s="1">
        <v>3</v>
      </c>
      <c r="F25" s="2">
        <v>5.3983296000000003</v>
      </c>
      <c r="G25" s="2">
        <v>1856.505054</v>
      </c>
      <c r="H25" s="12" t="s">
        <v>10</v>
      </c>
      <c r="I25" s="37" t="s">
        <v>28</v>
      </c>
      <c r="J25" s="38"/>
      <c r="K25" s="39"/>
      <c r="L25" s="37" t="s">
        <v>36</v>
      </c>
      <c r="M25" s="38"/>
      <c r="N25" s="39"/>
    </row>
    <row r="26" spans="1:18" ht="15" customHeight="1" thickBot="1" x14ac:dyDescent="0.3">
      <c r="A26" s="4">
        <v>4</v>
      </c>
      <c r="B26" s="2">
        <v>32.802759199999997</v>
      </c>
      <c r="C26" s="2">
        <v>310.0617676</v>
      </c>
      <c r="D26" s="3">
        <v>3.2802760000000002</v>
      </c>
      <c r="E26" s="11">
        <v>4</v>
      </c>
      <c r="F26" s="6">
        <v>4.9493375999999998</v>
      </c>
      <c r="G26" s="6">
        <v>2024.6125979999999</v>
      </c>
      <c r="H26" s="20" t="s">
        <v>10</v>
      </c>
      <c r="I26" s="23" t="s">
        <v>29</v>
      </c>
      <c r="J26" s="24" t="s">
        <v>31</v>
      </c>
      <c r="K26" s="29" t="s">
        <v>30</v>
      </c>
      <c r="L26" s="23" t="s">
        <v>33</v>
      </c>
      <c r="M26" s="24" t="s">
        <v>34</v>
      </c>
      <c r="N26" s="25" t="s">
        <v>35</v>
      </c>
    </row>
    <row r="27" spans="1:18" ht="15" customHeight="1" thickBot="1" x14ac:dyDescent="0.3">
      <c r="A27" s="1">
        <v>8</v>
      </c>
      <c r="B27" s="2">
        <v>24.995000000000001</v>
      </c>
      <c r="C27" s="2">
        <v>420.63833620000003</v>
      </c>
      <c r="D27" s="3">
        <v>2.4994999999999998</v>
      </c>
      <c r="I27" s="26">
        <v>79.84375</v>
      </c>
      <c r="J27" s="27">
        <v>16.734375</v>
      </c>
      <c r="K27" s="30">
        <v>98.191718750000007</v>
      </c>
      <c r="L27" s="26">
        <v>68.685294119999995</v>
      </c>
      <c r="M27" s="27">
        <v>77.797058820000004</v>
      </c>
      <c r="N27" s="28">
        <v>66.114882350000002</v>
      </c>
    </row>
    <row r="28" spans="1:18" ht="15" customHeight="1" thickBot="1" x14ac:dyDescent="0.3">
      <c r="A28" s="11">
        <v>16</v>
      </c>
      <c r="B28" s="6">
        <v>20.227120200000002</v>
      </c>
      <c r="C28" s="6">
        <v>509.34270040000001</v>
      </c>
      <c r="D28" s="7">
        <v>2.0227119999999998</v>
      </c>
    </row>
    <row r="29" spans="1:18" ht="15" customHeight="1" thickBot="1" x14ac:dyDescent="0.3"/>
    <row r="30" spans="1:18" ht="15.75" customHeight="1" x14ac:dyDescent="0.25">
      <c r="A30" s="40" t="s">
        <v>23</v>
      </c>
      <c r="B30" s="41"/>
      <c r="C30" s="41"/>
      <c r="D30" s="42"/>
      <c r="F30" s="31" t="s">
        <v>37</v>
      </c>
      <c r="G30" s="32"/>
      <c r="H30" s="33"/>
    </row>
    <row r="31" spans="1:18" ht="15" customHeight="1" thickBot="1" x14ac:dyDescent="0.3">
      <c r="A31" s="43"/>
      <c r="B31" s="44"/>
      <c r="C31" s="44"/>
      <c r="D31" s="45"/>
      <c r="F31" s="34"/>
      <c r="G31" s="35"/>
      <c r="H31" s="36"/>
    </row>
    <row r="32" spans="1:18" ht="15.75" customHeight="1" x14ac:dyDescent="0.25">
      <c r="A32" s="9" t="s">
        <v>24</v>
      </c>
      <c r="B32" s="8" t="s">
        <v>6</v>
      </c>
      <c r="C32" s="8" t="s">
        <v>7</v>
      </c>
      <c r="D32" s="10" t="s">
        <v>8</v>
      </c>
      <c r="F32" s="9" t="s">
        <v>38</v>
      </c>
      <c r="G32" s="8" t="s">
        <v>40</v>
      </c>
      <c r="H32" s="10" t="s">
        <v>39</v>
      </c>
    </row>
    <row r="33" spans="1:18" ht="15.75" customHeight="1" thickBot="1" x14ac:dyDescent="0.3">
      <c r="A33" s="4">
        <v>1024</v>
      </c>
      <c r="B33" s="2">
        <v>0.13293440000000001</v>
      </c>
      <c r="C33" s="2">
        <v>7.7035657999999998</v>
      </c>
      <c r="D33" s="3" t="s">
        <v>9</v>
      </c>
      <c r="F33" s="11">
        <v>7345664</v>
      </c>
      <c r="G33" s="6">
        <v>16</v>
      </c>
      <c r="H33" s="7">
        <v>112.09</v>
      </c>
    </row>
    <row r="34" spans="1:18" ht="15.75" x14ac:dyDescent="0.25">
      <c r="A34" s="4">
        <v>8192</v>
      </c>
      <c r="B34" s="2">
        <v>0.14348159999999999</v>
      </c>
      <c r="C34" s="2">
        <v>57.1902604</v>
      </c>
      <c r="D34" s="3" t="s">
        <v>9</v>
      </c>
    </row>
    <row r="35" spans="1:18" ht="15.75" x14ac:dyDescent="0.25">
      <c r="A35" s="4">
        <v>65536</v>
      </c>
      <c r="B35" s="2">
        <v>3.2595199999999998E-2</v>
      </c>
      <c r="C35" s="2">
        <v>2010.9571530000001</v>
      </c>
      <c r="D35" s="3" t="s">
        <v>10</v>
      </c>
    </row>
    <row r="36" spans="1:18" ht="15.75" x14ac:dyDescent="0.25">
      <c r="A36" s="4">
        <v>524288</v>
      </c>
      <c r="B36" s="2">
        <v>0.1114048</v>
      </c>
      <c r="C36" s="2">
        <v>4706.2799809999997</v>
      </c>
      <c r="D36" s="3" t="s">
        <v>10</v>
      </c>
    </row>
    <row r="37" spans="1:18" ht="15.75" x14ac:dyDescent="0.25">
      <c r="A37" s="4">
        <v>1048576</v>
      </c>
      <c r="B37" s="2">
        <v>0.20030719999999999</v>
      </c>
      <c r="C37" s="2">
        <v>5234.8579099999997</v>
      </c>
      <c r="D37" s="3" t="s">
        <v>10</v>
      </c>
    </row>
    <row r="38" spans="1:18" ht="15.75" x14ac:dyDescent="0.25">
      <c r="A38" s="4">
        <v>5000000</v>
      </c>
      <c r="B38" s="2">
        <v>1.1632511999999999</v>
      </c>
      <c r="C38" s="2">
        <v>4543.2917479999996</v>
      </c>
      <c r="D38" s="3" t="s">
        <v>10</v>
      </c>
    </row>
    <row r="39" spans="1:18" ht="15" customHeight="1" thickBot="1" x14ac:dyDescent="0.3">
      <c r="A39" s="5">
        <v>10000000</v>
      </c>
      <c r="B39" s="6">
        <v>2.0413184000000002</v>
      </c>
      <c r="C39" s="6">
        <v>4955.6843749999998</v>
      </c>
      <c r="D39" s="7" t="s">
        <v>10</v>
      </c>
    </row>
    <row r="40" spans="1:18" ht="15" customHeight="1" x14ac:dyDescent="0.25"/>
    <row r="41" spans="1:18" ht="15.75" thickBot="1" x14ac:dyDescent="0.3"/>
    <row r="42" spans="1:18" ht="15" customHeight="1" x14ac:dyDescent="0.25">
      <c r="A42" s="46" t="s">
        <v>15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</row>
    <row r="43" spans="1:18" ht="15.75" customHeight="1" thickBot="1" x14ac:dyDescent="0.3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1"/>
    </row>
    <row r="44" spans="1:18" ht="15" customHeight="1" x14ac:dyDescent="0.25">
      <c r="A44" s="52" t="s">
        <v>19</v>
      </c>
      <c r="B44" s="53"/>
      <c r="C44" s="53"/>
      <c r="D44" s="54"/>
      <c r="E44" s="55" t="s">
        <v>17</v>
      </c>
      <c r="F44" s="56"/>
      <c r="G44" s="56"/>
      <c r="H44" s="57"/>
      <c r="I44" s="58" t="s">
        <v>5</v>
      </c>
      <c r="J44" s="59"/>
      <c r="K44" s="59"/>
      <c r="L44" s="59"/>
      <c r="M44" s="59"/>
      <c r="N44" s="59"/>
      <c r="O44" s="59"/>
      <c r="P44" s="59"/>
      <c r="Q44" s="59"/>
      <c r="R44" s="60"/>
    </row>
    <row r="45" spans="1:18" ht="15.75" customHeight="1" thickBot="1" x14ac:dyDescent="0.3">
      <c r="A45" s="52"/>
      <c r="B45" s="53"/>
      <c r="C45" s="53"/>
      <c r="D45" s="54"/>
      <c r="E45" s="55"/>
      <c r="F45" s="56"/>
      <c r="G45" s="56"/>
      <c r="H45" s="57"/>
      <c r="I45" s="61"/>
      <c r="J45" s="62"/>
      <c r="K45" s="62"/>
      <c r="L45" s="62"/>
      <c r="M45" s="62"/>
      <c r="N45" s="62"/>
      <c r="O45" s="62"/>
      <c r="P45" s="62"/>
      <c r="Q45" s="62"/>
      <c r="R45" s="63"/>
    </row>
    <row r="46" spans="1:18" ht="15.75" x14ac:dyDescent="0.25">
      <c r="A46" s="9" t="s">
        <v>20</v>
      </c>
      <c r="B46" s="8" t="s">
        <v>6</v>
      </c>
      <c r="C46" s="8" t="s">
        <v>7</v>
      </c>
      <c r="D46" s="10" t="s">
        <v>21</v>
      </c>
      <c r="E46" s="9" t="s">
        <v>18</v>
      </c>
      <c r="F46" s="8" t="s">
        <v>6</v>
      </c>
      <c r="G46" s="8" t="s">
        <v>7</v>
      </c>
      <c r="H46" s="10" t="s">
        <v>8</v>
      </c>
      <c r="I46" s="9" t="s">
        <v>0</v>
      </c>
      <c r="J46" s="8" t="s">
        <v>18</v>
      </c>
      <c r="K46" s="8" t="s">
        <v>11</v>
      </c>
      <c r="L46" s="8" t="s">
        <v>12</v>
      </c>
      <c r="M46" s="8" t="s">
        <v>13</v>
      </c>
      <c r="N46" s="8" t="s">
        <v>1</v>
      </c>
      <c r="O46" s="8" t="s">
        <v>2</v>
      </c>
      <c r="P46" s="8" t="s">
        <v>3</v>
      </c>
      <c r="Q46" s="8" t="s">
        <v>22</v>
      </c>
      <c r="R46" s="10" t="s">
        <v>4</v>
      </c>
    </row>
    <row r="47" spans="1:18" ht="16.5" thickBot="1" x14ac:dyDescent="0.3">
      <c r="A47" s="1">
        <v>1</v>
      </c>
      <c r="B47" s="2">
        <v>11.057040000000001</v>
      </c>
      <c r="C47" s="2">
        <v>90.534315599999999</v>
      </c>
      <c r="D47" s="3">
        <v>11.057040000000001</v>
      </c>
      <c r="E47" s="1">
        <v>2</v>
      </c>
      <c r="F47" s="2">
        <v>1.0644032000000001</v>
      </c>
      <c r="G47" s="2">
        <v>939.9428226</v>
      </c>
      <c r="H47" s="3" t="s">
        <v>9</v>
      </c>
      <c r="I47" s="21">
        <v>1000000</v>
      </c>
      <c r="J47" s="22">
        <v>2</v>
      </c>
      <c r="K47" s="15">
        <v>0.74554240000000005</v>
      </c>
      <c r="L47" s="15">
        <v>0.74554240000000005</v>
      </c>
      <c r="M47" s="15">
        <v>1342.894507</v>
      </c>
      <c r="N47" s="15">
        <f>SUM(M47/K50)</f>
        <v>16.878220383026189</v>
      </c>
      <c r="O47" s="6">
        <f>SUM(((I47/(Q47/1000))/1000000)/N50)</f>
        <v>5.8024871748271147</v>
      </c>
      <c r="P47" s="6">
        <v>1.0994873999999999</v>
      </c>
      <c r="Q47" s="6">
        <v>2.7118199999999999</v>
      </c>
      <c r="R47" s="7">
        <v>3.636765</v>
      </c>
    </row>
    <row r="48" spans="1:18" ht="15.75" x14ac:dyDescent="0.25">
      <c r="A48" s="1">
        <v>2</v>
      </c>
      <c r="B48" s="2">
        <v>6.0037399999999996</v>
      </c>
      <c r="C48" s="2">
        <v>166.69585900000001</v>
      </c>
      <c r="D48" s="3">
        <v>6.0037399999999996</v>
      </c>
      <c r="E48" s="1">
        <v>3</v>
      </c>
      <c r="F48" s="2">
        <v>0.62738559999999999</v>
      </c>
      <c r="G48" s="2">
        <v>1594.113818</v>
      </c>
      <c r="H48" s="12" t="s">
        <v>10</v>
      </c>
      <c r="I48" s="37" t="s">
        <v>28</v>
      </c>
      <c r="J48" s="38"/>
      <c r="K48" s="39"/>
      <c r="L48" s="37" t="s">
        <v>36</v>
      </c>
      <c r="M48" s="38"/>
      <c r="N48" s="39"/>
    </row>
    <row r="49" spans="1:18" ht="16.5" thickBot="1" x14ac:dyDescent="0.3">
      <c r="A49" s="4">
        <v>4</v>
      </c>
      <c r="B49" s="2">
        <v>3.6177000000000001</v>
      </c>
      <c r="C49" s="2">
        <v>277.82991939999999</v>
      </c>
      <c r="D49" s="3">
        <v>3.6177000000000001</v>
      </c>
      <c r="E49" s="11">
        <v>4</v>
      </c>
      <c r="F49" s="6">
        <v>0.61033599999999999</v>
      </c>
      <c r="G49" s="6">
        <v>1640.1168950000001</v>
      </c>
      <c r="H49" s="20" t="s">
        <v>10</v>
      </c>
      <c r="I49" s="23" t="s">
        <v>29</v>
      </c>
      <c r="J49" s="24" t="s">
        <v>31</v>
      </c>
      <c r="K49" s="29" t="s">
        <v>30</v>
      </c>
      <c r="L49" s="23" t="s">
        <v>33</v>
      </c>
      <c r="M49" s="24" t="s">
        <v>34</v>
      </c>
      <c r="N49" s="25" t="s">
        <v>35</v>
      </c>
    </row>
    <row r="50" spans="1:18" ht="16.5" thickBot="1" x14ac:dyDescent="0.3">
      <c r="A50" s="1">
        <v>8</v>
      </c>
      <c r="B50" s="2">
        <v>3.0590000000000002</v>
      </c>
      <c r="C50" s="2">
        <v>332.05171519999999</v>
      </c>
      <c r="D50" s="3">
        <v>3.0590000000000002</v>
      </c>
      <c r="I50" s="26">
        <v>62</v>
      </c>
      <c r="J50" s="27">
        <v>12</v>
      </c>
      <c r="K50" s="30">
        <v>79.563749999999999</v>
      </c>
      <c r="L50" s="26">
        <v>41.25</v>
      </c>
      <c r="M50" s="27">
        <v>48.75</v>
      </c>
      <c r="N50" s="28">
        <v>63.551375</v>
      </c>
    </row>
    <row r="51" spans="1:18" ht="16.5" thickBot="1" x14ac:dyDescent="0.3">
      <c r="A51" s="11">
        <v>16</v>
      </c>
      <c r="B51" s="6">
        <v>3.0151599999999998</v>
      </c>
      <c r="C51" s="6">
        <v>332.85870340000002</v>
      </c>
      <c r="D51" s="7">
        <v>3.0151599999999998</v>
      </c>
    </row>
    <row r="52" spans="1:18" ht="15.75" thickBot="1" x14ac:dyDescent="0.3"/>
    <row r="53" spans="1:18" ht="15" customHeight="1" x14ac:dyDescent="0.25">
      <c r="A53" s="64" t="s">
        <v>19</v>
      </c>
      <c r="B53" s="65"/>
      <c r="C53" s="65"/>
      <c r="D53" s="66"/>
      <c r="E53" s="70" t="s">
        <v>17</v>
      </c>
      <c r="F53" s="71"/>
      <c r="G53" s="71"/>
      <c r="H53" s="72"/>
      <c r="I53" s="58" t="s">
        <v>5</v>
      </c>
      <c r="J53" s="59"/>
      <c r="K53" s="59"/>
      <c r="L53" s="59"/>
      <c r="M53" s="59"/>
      <c r="N53" s="59"/>
      <c r="O53" s="59"/>
      <c r="P53" s="59"/>
      <c r="Q53" s="59"/>
      <c r="R53" s="60"/>
    </row>
    <row r="54" spans="1:18" ht="15.75" customHeight="1" thickBot="1" x14ac:dyDescent="0.3">
      <c r="A54" s="52"/>
      <c r="B54" s="53"/>
      <c r="C54" s="53"/>
      <c r="D54" s="54"/>
      <c r="E54" s="55"/>
      <c r="F54" s="56"/>
      <c r="G54" s="56"/>
      <c r="H54" s="57"/>
      <c r="I54" s="61"/>
      <c r="J54" s="62"/>
      <c r="K54" s="62"/>
      <c r="L54" s="62"/>
      <c r="M54" s="62"/>
      <c r="N54" s="62"/>
      <c r="O54" s="62"/>
      <c r="P54" s="62"/>
      <c r="Q54" s="62"/>
      <c r="R54" s="63"/>
    </row>
    <row r="55" spans="1:18" ht="15.75" x14ac:dyDescent="0.25">
      <c r="A55" s="9" t="s">
        <v>20</v>
      </c>
      <c r="B55" s="8" t="s">
        <v>6</v>
      </c>
      <c r="C55" s="8" t="s">
        <v>7</v>
      </c>
      <c r="D55" s="10" t="s">
        <v>21</v>
      </c>
      <c r="E55" s="9" t="s">
        <v>18</v>
      </c>
      <c r="F55" s="8" t="s">
        <v>6</v>
      </c>
      <c r="G55" s="8" t="s">
        <v>7</v>
      </c>
      <c r="H55" s="10" t="s">
        <v>8</v>
      </c>
      <c r="I55" s="9" t="s">
        <v>0</v>
      </c>
      <c r="J55" s="8" t="s">
        <v>18</v>
      </c>
      <c r="K55" s="8" t="s">
        <v>11</v>
      </c>
      <c r="L55" s="8" t="s">
        <v>12</v>
      </c>
      <c r="M55" s="8" t="s">
        <v>13</v>
      </c>
      <c r="N55" s="8" t="s">
        <v>1</v>
      </c>
      <c r="O55" s="8" t="s">
        <v>2</v>
      </c>
      <c r="P55" s="8" t="s">
        <v>3</v>
      </c>
      <c r="Q55" s="8" t="s">
        <v>22</v>
      </c>
      <c r="R55" s="10" t="s">
        <v>4</v>
      </c>
    </row>
    <row r="56" spans="1:18" ht="16.5" thickBot="1" x14ac:dyDescent="0.3">
      <c r="A56" s="1">
        <v>1</v>
      </c>
      <c r="B56" s="2">
        <v>54.0774002</v>
      </c>
      <c r="C56" s="2">
        <v>92.462344200000004</v>
      </c>
      <c r="D56" s="3">
        <v>10.815480000000001</v>
      </c>
      <c r="E56" s="1">
        <v>2</v>
      </c>
      <c r="F56" s="2">
        <v>2.9322816</v>
      </c>
      <c r="G56" s="2">
        <v>1705.2617680000001</v>
      </c>
      <c r="H56" s="3" t="s">
        <v>10</v>
      </c>
      <c r="I56" s="21">
        <v>5000000</v>
      </c>
      <c r="J56" s="22">
        <v>2</v>
      </c>
      <c r="K56" s="15">
        <v>0.58654980000000001</v>
      </c>
      <c r="L56" s="15">
        <v>2.9327488000000002</v>
      </c>
      <c r="M56" s="15">
        <v>1704.935962</v>
      </c>
      <c r="N56" s="15">
        <f>SUM(M56/K59)</f>
        <v>18.666912725306126</v>
      </c>
      <c r="O56" s="6">
        <f>SUM(((I56/(Q56/1000))/1000000)/N59)</f>
        <v>6.5056474585342583</v>
      </c>
      <c r="P56" s="6">
        <v>1.2138169999999999</v>
      </c>
      <c r="Q56" s="6">
        <v>11.77492</v>
      </c>
      <c r="R56" s="7">
        <v>4.0149330000000001</v>
      </c>
    </row>
    <row r="57" spans="1:18" ht="15.75" x14ac:dyDescent="0.25">
      <c r="A57" s="1">
        <v>2</v>
      </c>
      <c r="B57" s="2">
        <v>29.947899400000001</v>
      </c>
      <c r="C57" s="2">
        <v>167.22383400000001</v>
      </c>
      <c r="D57" s="3">
        <v>5.9895800000000001</v>
      </c>
      <c r="E57" s="1">
        <v>3</v>
      </c>
      <c r="F57" s="2">
        <v>2.757152</v>
      </c>
      <c r="G57" s="2">
        <v>1820.2535640000001</v>
      </c>
      <c r="H57" s="12" t="s">
        <v>10</v>
      </c>
      <c r="I57" s="37" t="s">
        <v>28</v>
      </c>
      <c r="J57" s="38"/>
      <c r="K57" s="39"/>
      <c r="L57" s="37" t="s">
        <v>36</v>
      </c>
      <c r="M57" s="38"/>
      <c r="N57" s="39"/>
    </row>
    <row r="58" spans="1:18" ht="16.5" thickBot="1" x14ac:dyDescent="0.3">
      <c r="A58" s="4">
        <v>4</v>
      </c>
      <c r="B58" s="2">
        <v>18.863900399999999</v>
      </c>
      <c r="C58" s="2">
        <v>266.43458559999999</v>
      </c>
      <c r="D58" s="3">
        <v>3.77278</v>
      </c>
      <c r="E58" s="11">
        <v>4</v>
      </c>
      <c r="F58" s="6">
        <v>2.5173247999999999</v>
      </c>
      <c r="G58" s="6">
        <v>1988.2783199999999</v>
      </c>
      <c r="H58" s="20" t="s">
        <v>10</v>
      </c>
      <c r="I58" s="23" t="s">
        <v>29</v>
      </c>
      <c r="J58" s="24" t="s">
        <v>31</v>
      </c>
      <c r="K58" s="29" t="s">
        <v>30</v>
      </c>
      <c r="L58" s="23" t="s">
        <v>33</v>
      </c>
      <c r="M58" s="24" t="s">
        <v>34</v>
      </c>
      <c r="N58" s="25" t="s">
        <v>35</v>
      </c>
    </row>
    <row r="59" spans="1:18" ht="16.5" thickBot="1" x14ac:dyDescent="0.3">
      <c r="A59" s="1">
        <v>8</v>
      </c>
      <c r="B59" s="2">
        <v>13.053739999999999</v>
      </c>
      <c r="C59" s="2">
        <v>383.36260379999999</v>
      </c>
      <c r="D59" s="3">
        <v>2.6107480000000001</v>
      </c>
      <c r="I59" s="26">
        <v>71.75</v>
      </c>
      <c r="J59" s="27">
        <v>15</v>
      </c>
      <c r="K59" s="30">
        <v>91.334651160000007</v>
      </c>
      <c r="L59" s="26">
        <v>66.825000000000003</v>
      </c>
      <c r="M59" s="27">
        <v>75.318749999999994</v>
      </c>
      <c r="N59" s="28">
        <v>65.271187499999996</v>
      </c>
    </row>
    <row r="60" spans="1:18" ht="16.5" thickBot="1" x14ac:dyDescent="0.3">
      <c r="A60" s="11">
        <v>16</v>
      </c>
      <c r="B60" s="6">
        <v>11.19328</v>
      </c>
      <c r="C60" s="6">
        <v>447.2965026</v>
      </c>
      <c r="D60" s="7">
        <v>2.2386560000000002</v>
      </c>
    </row>
    <row r="61" spans="1:18" ht="15.75" thickBot="1" x14ac:dyDescent="0.3"/>
    <row r="62" spans="1:18" ht="15" customHeight="1" x14ac:dyDescent="0.25">
      <c r="A62" s="64" t="s">
        <v>19</v>
      </c>
      <c r="B62" s="65"/>
      <c r="C62" s="65"/>
      <c r="D62" s="66"/>
      <c r="E62" s="70" t="s">
        <v>17</v>
      </c>
      <c r="F62" s="71"/>
      <c r="G62" s="71"/>
      <c r="H62" s="72"/>
      <c r="I62" s="58" t="s">
        <v>5</v>
      </c>
      <c r="J62" s="59"/>
      <c r="K62" s="59"/>
      <c r="L62" s="59"/>
      <c r="M62" s="59"/>
      <c r="N62" s="59"/>
      <c r="O62" s="59"/>
      <c r="P62" s="59"/>
      <c r="Q62" s="59"/>
      <c r="R62" s="60"/>
    </row>
    <row r="63" spans="1:18" ht="15.75" customHeight="1" thickBot="1" x14ac:dyDescent="0.3">
      <c r="A63" s="52"/>
      <c r="B63" s="53"/>
      <c r="C63" s="53"/>
      <c r="D63" s="54"/>
      <c r="E63" s="55"/>
      <c r="F63" s="56"/>
      <c r="G63" s="56"/>
      <c r="H63" s="57"/>
      <c r="I63" s="61"/>
      <c r="J63" s="62"/>
      <c r="K63" s="62"/>
      <c r="L63" s="62"/>
      <c r="M63" s="62"/>
      <c r="N63" s="62"/>
      <c r="O63" s="62"/>
      <c r="P63" s="62"/>
      <c r="Q63" s="62"/>
      <c r="R63" s="63"/>
    </row>
    <row r="64" spans="1:18" ht="15.75" x14ac:dyDescent="0.25">
      <c r="A64" s="9" t="s">
        <v>20</v>
      </c>
      <c r="B64" s="8" t="s">
        <v>6</v>
      </c>
      <c r="C64" s="8" t="s">
        <v>7</v>
      </c>
      <c r="D64" s="10" t="s">
        <v>21</v>
      </c>
      <c r="E64" s="9" t="s">
        <v>18</v>
      </c>
      <c r="F64" s="8" t="s">
        <v>6</v>
      </c>
      <c r="G64" s="8" t="s">
        <v>7</v>
      </c>
      <c r="H64" s="10" t="s">
        <v>8</v>
      </c>
      <c r="I64" s="9" t="s">
        <v>0</v>
      </c>
      <c r="J64" s="8" t="s">
        <v>18</v>
      </c>
      <c r="K64" s="8" t="s">
        <v>11</v>
      </c>
      <c r="L64" s="8" t="s">
        <v>12</v>
      </c>
      <c r="M64" s="8" t="s">
        <v>13</v>
      </c>
      <c r="N64" s="8" t="s">
        <v>1</v>
      </c>
      <c r="O64" s="8" t="s">
        <v>2</v>
      </c>
      <c r="P64" s="8" t="s">
        <v>3</v>
      </c>
      <c r="Q64" s="8" t="s">
        <v>22</v>
      </c>
      <c r="R64" s="10" t="s">
        <v>4</v>
      </c>
    </row>
    <row r="65" spans="1:18" ht="16.5" thickBot="1" x14ac:dyDescent="0.3">
      <c r="A65" s="1">
        <v>1</v>
      </c>
      <c r="B65" s="2">
        <v>107.3206804</v>
      </c>
      <c r="C65" s="2">
        <v>93.181304999999995</v>
      </c>
      <c r="D65" s="3">
        <v>10.732068</v>
      </c>
      <c r="E65" s="1">
        <v>2</v>
      </c>
      <c r="F65" s="2">
        <v>5.7349696000000003</v>
      </c>
      <c r="G65" s="2">
        <v>1743.8211429999999</v>
      </c>
      <c r="H65" s="3" t="s">
        <v>10</v>
      </c>
      <c r="I65" s="21">
        <v>10000000</v>
      </c>
      <c r="J65" s="22">
        <v>2</v>
      </c>
      <c r="K65" s="15">
        <v>0.57060420000000001</v>
      </c>
      <c r="L65" s="15">
        <v>5.7060415999999998</v>
      </c>
      <c r="M65" s="15">
        <v>1752.529297</v>
      </c>
      <c r="N65" s="15">
        <f>SUM(M65/K68)</f>
        <v>17.364873111786412</v>
      </c>
      <c r="O65" s="6">
        <f>SUM(((I65/(Q65/1000))/1000000)/N68)</f>
        <v>6.646624850282616</v>
      </c>
      <c r="P65" s="6">
        <v>1.1791236</v>
      </c>
      <c r="Q65" s="6">
        <v>22.254560000000001</v>
      </c>
      <c r="R65" s="7">
        <v>3.9001777999999998</v>
      </c>
    </row>
    <row r="66" spans="1:18" ht="15.75" x14ac:dyDescent="0.25">
      <c r="A66" s="1">
        <v>2</v>
      </c>
      <c r="B66" s="2">
        <v>59.322260399999998</v>
      </c>
      <c r="C66" s="2">
        <v>168.9158936</v>
      </c>
      <c r="D66" s="3">
        <v>5.932226</v>
      </c>
      <c r="E66" s="1">
        <v>3</v>
      </c>
      <c r="F66" s="2">
        <v>5.3741056</v>
      </c>
      <c r="G66" s="2">
        <v>1865.1996830000001</v>
      </c>
      <c r="H66" s="12" t="s">
        <v>10</v>
      </c>
      <c r="I66" s="37" t="s">
        <v>28</v>
      </c>
      <c r="J66" s="38"/>
      <c r="K66" s="39"/>
      <c r="L66" s="37" t="s">
        <v>36</v>
      </c>
      <c r="M66" s="38"/>
      <c r="N66" s="39"/>
    </row>
    <row r="67" spans="1:18" ht="16.5" thickBot="1" x14ac:dyDescent="0.3">
      <c r="A67" s="4">
        <v>4</v>
      </c>
      <c r="B67" s="2">
        <v>36.556820000000002</v>
      </c>
      <c r="C67" s="2">
        <v>274.3836546</v>
      </c>
      <c r="D67" s="3">
        <v>3.6556820000000001</v>
      </c>
      <c r="E67" s="11">
        <v>4</v>
      </c>
      <c r="F67" s="6">
        <v>4.9269888000000002</v>
      </c>
      <c r="G67" s="6">
        <v>2033.6564940000001</v>
      </c>
      <c r="H67" s="20" t="s">
        <v>10</v>
      </c>
      <c r="I67" s="23" t="s">
        <v>29</v>
      </c>
      <c r="J67" s="24" t="s">
        <v>31</v>
      </c>
      <c r="K67" s="29" t="s">
        <v>30</v>
      </c>
      <c r="L67" s="23" t="s">
        <v>33</v>
      </c>
      <c r="M67" s="24" t="s">
        <v>34</v>
      </c>
      <c r="N67" s="25" t="s">
        <v>35</v>
      </c>
    </row>
    <row r="68" spans="1:18" ht="16.5" thickBot="1" x14ac:dyDescent="0.3">
      <c r="A68" s="1">
        <v>8</v>
      </c>
      <c r="B68" s="2">
        <v>26.686959999999999</v>
      </c>
      <c r="C68" s="2">
        <v>376.07297360000001</v>
      </c>
      <c r="D68" s="3">
        <v>2.6686960000000002</v>
      </c>
      <c r="I68" s="26">
        <v>93.618181820000004</v>
      </c>
      <c r="J68" s="27">
        <v>19.690909090000002</v>
      </c>
      <c r="K68" s="30">
        <v>100.9238182</v>
      </c>
      <c r="L68" s="26">
        <v>74.084374999999994</v>
      </c>
      <c r="M68" s="27">
        <v>83.712500000000006</v>
      </c>
      <c r="N68" s="28">
        <v>67.605156249999993</v>
      </c>
    </row>
    <row r="69" spans="1:18" ht="16.5" thickBot="1" x14ac:dyDescent="0.3">
      <c r="A69" s="11">
        <v>16</v>
      </c>
      <c r="B69" s="6">
        <v>21.517860200000001</v>
      </c>
      <c r="C69" s="6">
        <v>465.15112920000001</v>
      </c>
      <c r="D69" s="7">
        <v>2.151786</v>
      </c>
    </row>
    <row r="70" spans="1:18" ht="15.75" thickBot="1" x14ac:dyDescent="0.3"/>
    <row r="71" spans="1:18" ht="15" customHeight="1" x14ac:dyDescent="0.25">
      <c r="A71" s="40" t="s">
        <v>23</v>
      </c>
      <c r="B71" s="41"/>
      <c r="C71" s="41"/>
      <c r="D71" s="42"/>
      <c r="F71" s="31" t="s">
        <v>37</v>
      </c>
      <c r="G71" s="32"/>
      <c r="H71" s="33"/>
    </row>
    <row r="72" spans="1:18" ht="15.75" customHeight="1" thickBot="1" x14ac:dyDescent="0.3">
      <c r="A72" s="76"/>
      <c r="B72" s="77"/>
      <c r="C72" s="77"/>
      <c r="D72" s="78"/>
      <c r="F72" s="34"/>
      <c r="G72" s="35"/>
      <c r="H72" s="36"/>
    </row>
    <row r="73" spans="1:18" ht="16.5" thickBot="1" x14ac:dyDescent="0.3">
      <c r="A73" s="17" t="s">
        <v>24</v>
      </c>
      <c r="B73" s="18" t="s">
        <v>6</v>
      </c>
      <c r="C73" s="18" t="s">
        <v>7</v>
      </c>
      <c r="D73" s="19" t="s">
        <v>8</v>
      </c>
      <c r="F73" s="9" t="s">
        <v>38</v>
      </c>
      <c r="G73" s="8" t="s">
        <v>40</v>
      </c>
      <c r="H73" s="10" t="s">
        <v>39</v>
      </c>
    </row>
    <row r="74" spans="1:18" ht="16.5" thickBot="1" x14ac:dyDescent="0.3">
      <c r="A74" s="16">
        <v>1024</v>
      </c>
      <c r="B74" s="8">
        <v>0.13525760000000001</v>
      </c>
      <c r="C74" s="8">
        <v>7.5775490000000003</v>
      </c>
      <c r="D74" s="10" t="s">
        <v>9</v>
      </c>
      <c r="F74" s="11">
        <v>7345664</v>
      </c>
      <c r="G74" s="6">
        <v>16</v>
      </c>
      <c r="H74" s="7">
        <v>112.09</v>
      </c>
    </row>
    <row r="75" spans="1:18" ht="15.75" x14ac:dyDescent="0.25">
      <c r="A75" s="4">
        <v>8192</v>
      </c>
      <c r="B75" s="2">
        <v>0.14382719999999999</v>
      </c>
      <c r="C75" s="2">
        <v>57.111681400000002</v>
      </c>
      <c r="D75" s="3" t="s">
        <v>9</v>
      </c>
    </row>
    <row r="76" spans="1:18" ht="15.75" x14ac:dyDescent="0.25">
      <c r="A76" s="4">
        <v>65536</v>
      </c>
      <c r="B76" s="2">
        <v>4.0742399999999998E-2</v>
      </c>
      <c r="C76" s="2">
        <v>1722.496521</v>
      </c>
      <c r="D76" s="3" t="s">
        <v>10</v>
      </c>
    </row>
    <row r="77" spans="1:18" ht="15.75" x14ac:dyDescent="0.25">
      <c r="A77" s="4">
        <v>524288</v>
      </c>
      <c r="B77" s="2">
        <v>0.11872000000000001</v>
      </c>
      <c r="C77" s="2">
        <v>4446.5882810000003</v>
      </c>
      <c r="D77" s="3" t="s">
        <v>10</v>
      </c>
      <c r="F77" s="14" t="s">
        <v>25</v>
      </c>
    </row>
    <row r="78" spans="1:18" ht="15.75" x14ac:dyDescent="0.25">
      <c r="A78" s="4">
        <v>1048576</v>
      </c>
      <c r="B78" s="2">
        <v>0.20250879999999999</v>
      </c>
      <c r="C78" s="2">
        <v>5178.1344730000001</v>
      </c>
      <c r="D78" s="3" t="s">
        <v>10</v>
      </c>
    </row>
    <row r="79" spans="1:18" ht="15.75" x14ac:dyDescent="0.25">
      <c r="A79" s="4">
        <v>5000000</v>
      </c>
      <c r="B79" s="2">
        <v>1.1589887999999999</v>
      </c>
      <c r="C79" s="2">
        <v>4538.3296879999998</v>
      </c>
      <c r="D79" s="3" t="s">
        <v>10</v>
      </c>
    </row>
    <row r="80" spans="1:18" ht="16.5" thickBot="1" x14ac:dyDescent="0.3">
      <c r="A80" s="5">
        <v>10000000</v>
      </c>
      <c r="B80" s="6">
        <v>1.9555583999999999</v>
      </c>
      <c r="C80" s="6">
        <v>5151.1958990000003</v>
      </c>
      <c r="D80" s="7" t="s">
        <v>10</v>
      </c>
    </row>
    <row r="82" spans="1:18" ht="15.75" thickBot="1" x14ac:dyDescent="0.3"/>
    <row r="83" spans="1:18" ht="15" customHeight="1" x14ac:dyDescent="0.25">
      <c r="A83" s="46" t="s">
        <v>16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8"/>
    </row>
    <row r="84" spans="1:18" ht="15.75" customHeight="1" thickBot="1" x14ac:dyDescent="0.3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1"/>
    </row>
    <row r="85" spans="1:18" ht="15" customHeight="1" x14ac:dyDescent="0.25">
      <c r="A85" s="64" t="s">
        <v>19</v>
      </c>
      <c r="B85" s="65"/>
      <c r="C85" s="65"/>
      <c r="D85" s="66"/>
      <c r="E85" s="70" t="s">
        <v>17</v>
      </c>
      <c r="F85" s="71"/>
      <c r="G85" s="71"/>
      <c r="H85" s="72"/>
      <c r="I85" s="58" t="s">
        <v>5</v>
      </c>
      <c r="J85" s="59"/>
      <c r="K85" s="59"/>
      <c r="L85" s="59"/>
      <c r="M85" s="59"/>
      <c r="N85" s="59"/>
      <c r="O85" s="59"/>
      <c r="P85" s="59"/>
      <c r="Q85" s="59"/>
      <c r="R85" s="60"/>
    </row>
    <row r="86" spans="1:18" ht="15.75" customHeight="1" thickBot="1" x14ac:dyDescent="0.3">
      <c r="A86" s="52"/>
      <c r="B86" s="53"/>
      <c r="C86" s="53"/>
      <c r="D86" s="54"/>
      <c r="E86" s="55"/>
      <c r="F86" s="56"/>
      <c r="G86" s="56"/>
      <c r="H86" s="57"/>
      <c r="I86" s="61"/>
      <c r="J86" s="62"/>
      <c r="K86" s="62"/>
      <c r="L86" s="62"/>
      <c r="M86" s="62"/>
      <c r="N86" s="62"/>
      <c r="O86" s="62"/>
      <c r="P86" s="62"/>
      <c r="Q86" s="62"/>
      <c r="R86" s="63"/>
    </row>
    <row r="87" spans="1:18" ht="15.75" x14ac:dyDescent="0.25">
      <c r="A87" s="9" t="s">
        <v>20</v>
      </c>
      <c r="B87" s="8" t="s">
        <v>6</v>
      </c>
      <c r="C87" s="8" t="s">
        <v>7</v>
      </c>
      <c r="D87" s="10" t="s">
        <v>21</v>
      </c>
      <c r="E87" s="9" t="s">
        <v>18</v>
      </c>
      <c r="F87" s="8" t="s">
        <v>6</v>
      </c>
      <c r="G87" s="8" t="s">
        <v>7</v>
      </c>
      <c r="H87" s="10" t="s">
        <v>8</v>
      </c>
      <c r="I87" s="9" t="s">
        <v>0</v>
      </c>
      <c r="J87" s="8" t="s">
        <v>18</v>
      </c>
      <c r="K87" s="8" t="s">
        <v>12</v>
      </c>
      <c r="L87" s="8" t="s">
        <v>13</v>
      </c>
      <c r="M87" s="8" t="s">
        <v>1</v>
      </c>
      <c r="N87" s="8" t="s">
        <v>22</v>
      </c>
      <c r="O87" s="8" t="s">
        <v>13</v>
      </c>
      <c r="P87" s="8" t="s">
        <v>2</v>
      </c>
      <c r="Q87" s="8" t="s">
        <v>4</v>
      </c>
      <c r="R87" s="10" t="s">
        <v>3</v>
      </c>
    </row>
    <row r="88" spans="1:18" ht="16.5" thickBot="1" x14ac:dyDescent="0.3">
      <c r="A88" s="1">
        <v>1</v>
      </c>
      <c r="B88" s="2">
        <v>4.0356399999999999</v>
      </c>
      <c r="C88" s="2">
        <v>247.7978698</v>
      </c>
      <c r="D88" s="3">
        <v>4.0356399999999999</v>
      </c>
      <c r="E88" s="1">
        <v>2</v>
      </c>
      <c r="F88" s="2">
        <v>1.6105792000000001</v>
      </c>
      <c r="G88" s="2">
        <v>621.06418440000004</v>
      </c>
      <c r="H88" s="3" t="s">
        <v>9</v>
      </c>
      <c r="I88" s="21">
        <v>1000000</v>
      </c>
      <c r="J88" s="22">
        <v>2</v>
      </c>
      <c r="K88" s="15">
        <v>1.6140479999999999</v>
      </c>
      <c r="L88" s="15">
        <v>619.89732660000004</v>
      </c>
      <c r="M88" s="15">
        <f>SUM(L88/K91)</f>
        <v>7.7628190367599972</v>
      </c>
      <c r="N88" s="15">
        <v>0.91557999999999995</v>
      </c>
      <c r="O88" s="6">
        <v>1119.4212279999999</v>
      </c>
      <c r="P88" s="6">
        <f>SUM(O88/N91)</f>
        <v>18.649871349316093</v>
      </c>
      <c r="Q88" s="6">
        <v>0.56926299999999996</v>
      </c>
      <c r="R88" s="7">
        <v>0.1721028</v>
      </c>
    </row>
    <row r="89" spans="1:18" ht="15.75" x14ac:dyDescent="0.25">
      <c r="A89" s="1">
        <v>2</v>
      </c>
      <c r="B89" s="2">
        <v>2.3582000000000001</v>
      </c>
      <c r="C89" s="2">
        <v>424.67268080000002</v>
      </c>
      <c r="D89" s="3">
        <v>2.3582000000000001</v>
      </c>
      <c r="E89" s="1">
        <v>3</v>
      </c>
      <c r="F89" s="2">
        <v>1.5239168000000001</v>
      </c>
      <c r="G89" s="2">
        <v>656.20772699999998</v>
      </c>
      <c r="H89" s="12" t="s">
        <v>9</v>
      </c>
      <c r="I89" s="37" t="s">
        <v>28</v>
      </c>
      <c r="J89" s="38"/>
      <c r="K89" s="39"/>
      <c r="L89" s="37" t="s">
        <v>36</v>
      </c>
      <c r="M89" s="38"/>
      <c r="N89" s="39"/>
    </row>
    <row r="90" spans="1:18" ht="16.5" thickBot="1" x14ac:dyDescent="0.3">
      <c r="A90" s="4">
        <v>4</v>
      </c>
      <c r="B90" s="2">
        <v>1.35076</v>
      </c>
      <c r="C90" s="2">
        <v>742.01676020000002</v>
      </c>
      <c r="D90" s="3">
        <v>1.35076</v>
      </c>
      <c r="E90" s="11">
        <v>4</v>
      </c>
      <c r="F90" s="6">
        <v>1.482272</v>
      </c>
      <c r="G90" s="6">
        <v>674.66464819999999</v>
      </c>
      <c r="H90" s="20" t="s">
        <v>9</v>
      </c>
      <c r="I90" s="23" t="s">
        <v>29</v>
      </c>
      <c r="J90" s="24" t="s">
        <v>31</v>
      </c>
      <c r="K90" s="29" t="s">
        <v>30</v>
      </c>
      <c r="L90" s="23" t="s">
        <v>33</v>
      </c>
      <c r="M90" s="24" t="s">
        <v>34</v>
      </c>
      <c r="N90" s="25" t="s">
        <v>35</v>
      </c>
    </row>
    <row r="91" spans="1:18" ht="16.5" thickBot="1" x14ac:dyDescent="0.3">
      <c r="A91" s="1">
        <v>8</v>
      </c>
      <c r="B91" s="2">
        <v>1.3528</v>
      </c>
      <c r="C91" s="2">
        <v>749.52187500000002</v>
      </c>
      <c r="D91" s="3">
        <v>1.3528</v>
      </c>
      <c r="I91" s="26">
        <v>48.25</v>
      </c>
      <c r="J91" s="27">
        <v>3.9642857139999998</v>
      </c>
      <c r="K91" s="30">
        <v>79.85466667</v>
      </c>
      <c r="L91" s="26">
        <v>31.44</v>
      </c>
      <c r="M91" s="27">
        <v>36.32</v>
      </c>
      <c r="N91" s="28">
        <v>60.023000000000003</v>
      </c>
    </row>
    <row r="92" spans="1:18" ht="16.5" thickBot="1" x14ac:dyDescent="0.3">
      <c r="A92" s="11">
        <v>16</v>
      </c>
      <c r="B92" s="6">
        <v>1.7214</v>
      </c>
      <c r="C92" s="6">
        <v>582.09772959999998</v>
      </c>
      <c r="D92" s="7">
        <v>1.7214</v>
      </c>
    </row>
    <row r="93" spans="1:18" ht="15.75" thickBot="1" x14ac:dyDescent="0.3"/>
    <row r="94" spans="1:18" ht="15" customHeight="1" x14ac:dyDescent="0.25">
      <c r="A94" s="64" t="s">
        <v>19</v>
      </c>
      <c r="B94" s="65"/>
      <c r="C94" s="65"/>
      <c r="D94" s="66"/>
      <c r="E94" s="70" t="s">
        <v>17</v>
      </c>
      <c r="F94" s="71"/>
      <c r="G94" s="71"/>
      <c r="H94" s="72"/>
      <c r="I94" s="58" t="s">
        <v>5</v>
      </c>
      <c r="J94" s="59"/>
      <c r="K94" s="59"/>
      <c r="L94" s="59"/>
      <c r="M94" s="59"/>
      <c r="N94" s="59"/>
      <c r="O94" s="59"/>
      <c r="P94" s="59"/>
      <c r="Q94" s="59"/>
      <c r="R94" s="60"/>
    </row>
    <row r="95" spans="1:18" ht="15.75" customHeight="1" thickBot="1" x14ac:dyDescent="0.3">
      <c r="A95" s="52"/>
      <c r="B95" s="53"/>
      <c r="C95" s="53"/>
      <c r="D95" s="54"/>
      <c r="E95" s="55"/>
      <c r="F95" s="56"/>
      <c r="G95" s="56"/>
      <c r="H95" s="57"/>
      <c r="I95" s="61"/>
      <c r="J95" s="62"/>
      <c r="K95" s="62"/>
      <c r="L95" s="62"/>
      <c r="M95" s="62"/>
      <c r="N95" s="62"/>
      <c r="O95" s="62"/>
      <c r="P95" s="62"/>
      <c r="Q95" s="62"/>
      <c r="R95" s="63"/>
    </row>
    <row r="96" spans="1:18" ht="15.75" customHeight="1" x14ac:dyDescent="0.25">
      <c r="A96" s="9" t="s">
        <v>20</v>
      </c>
      <c r="B96" s="8" t="s">
        <v>6</v>
      </c>
      <c r="C96" s="8" t="s">
        <v>7</v>
      </c>
      <c r="D96" s="10" t="s">
        <v>21</v>
      </c>
      <c r="E96" s="9" t="s">
        <v>18</v>
      </c>
      <c r="F96" s="8" t="s">
        <v>6</v>
      </c>
      <c r="G96" s="8" t="s">
        <v>7</v>
      </c>
      <c r="H96" s="10" t="s">
        <v>8</v>
      </c>
      <c r="I96" s="9" t="s">
        <v>0</v>
      </c>
      <c r="J96" s="8" t="s">
        <v>18</v>
      </c>
      <c r="K96" s="8" t="s">
        <v>12</v>
      </c>
      <c r="L96" s="8" t="s">
        <v>13</v>
      </c>
      <c r="M96" s="8" t="s">
        <v>1</v>
      </c>
      <c r="N96" s="8" t="s">
        <v>22</v>
      </c>
      <c r="O96" s="8" t="s">
        <v>13</v>
      </c>
      <c r="P96" s="8" t="s">
        <v>2</v>
      </c>
      <c r="Q96" s="8" t="s">
        <v>4</v>
      </c>
      <c r="R96" s="10" t="s">
        <v>3</v>
      </c>
    </row>
    <row r="97" spans="1:18" ht="16.5" customHeight="1" thickBot="1" x14ac:dyDescent="0.3">
      <c r="A97" s="1">
        <v>1</v>
      </c>
      <c r="B97" s="2">
        <v>20.260040199999999</v>
      </c>
      <c r="C97" s="2">
        <v>246.79802839999999</v>
      </c>
      <c r="D97" s="3">
        <v>4.0520079999999998</v>
      </c>
      <c r="E97" s="1">
        <v>2</v>
      </c>
      <c r="F97" s="2">
        <v>7.5880064000000003</v>
      </c>
      <c r="G97" s="2">
        <v>659.0882934</v>
      </c>
      <c r="H97" s="3" t="s">
        <v>9</v>
      </c>
      <c r="I97" s="21">
        <v>5000000</v>
      </c>
      <c r="J97" s="22">
        <v>2</v>
      </c>
      <c r="K97" s="15">
        <v>7.4201727999999996</v>
      </c>
      <c r="L97" s="15">
        <v>673.83957499999997</v>
      </c>
      <c r="M97" s="15">
        <f>SUM(L97/K100)</f>
        <v>7.8591476259331472</v>
      </c>
      <c r="N97" s="15">
        <v>4.5461400000000003</v>
      </c>
      <c r="O97" s="6">
        <v>1108.0209589999999</v>
      </c>
      <c r="P97" s="6">
        <f>SUM(O97/N100)</f>
        <v>15.129782270928967</v>
      </c>
      <c r="Q97" s="6">
        <v>0.61266520000000002</v>
      </c>
      <c r="R97" s="7">
        <v>0.18522440000000001</v>
      </c>
    </row>
    <row r="98" spans="1:18" ht="15.75" x14ac:dyDescent="0.25">
      <c r="A98" s="1">
        <v>2</v>
      </c>
      <c r="B98" s="2">
        <v>10.781940000000001</v>
      </c>
      <c r="C98" s="2">
        <v>463.95500479999998</v>
      </c>
      <c r="D98" s="3">
        <v>2.1563880000000002</v>
      </c>
      <c r="E98" s="1">
        <v>3</v>
      </c>
      <c r="F98" s="2">
        <v>7.1798848</v>
      </c>
      <c r="G98" s="2">
        <v>696.47460920000003</v>
      </c>
      <c r="H98" s="12" t="s">
        <v>9</v>
      </c>
      <c r="I98" s="37" t="s">
        <v>28</v>
      </c>
      <c r="J98" s="38"/>
      <c r="K98" s="39"/>
      <c r="L98" s="37" t="s">
        <v>36</v>
      </c>
      <c r="M98" s="38"/>
      <c r="N98" s="39"/>
    </row>
    <row r="99" spans="1:18" ht="16.5" thickBot="1" x14ac:dyDescent="0.3">
      <c r="A99" s="4">
        <v>4</v>
      </c>
      <c r="B99" s="2">
        <v>5.8164199999999999</v>
      </c>
      <c r="C99" s="2">
        <v>860.46730979999995</v>
      </c>
      <c r="D99" s="3">
        <v>1.163284</v>
      </c>
      <c r="E99" s="11">
        <v>4</v>
      </c>
      <c r="F99" s="6">
        <v>6.9446143999999999</v>
      </c>
      <c r="G99" s="6">
        <v>720.02051979999999</v>
      </c>
      <c r="H99" s="20" t="s">
        <v>9</v>
      </c>
      <c r="I99" s="23" t="s">
        <v>29</v>
      </c>
      <c r="J99" s="24" t="s">
        <v>31</v>
      </c>
      <c r="K99" s="29" t="s">
        <v>30</v>
      </c>
      <c r="L99" s="23" t="s">
        <v>33</v>
      </c>
      <c r="M99" s="24" t="s">
        <v>34</v>
      </c>
      <c r="N99" s="25" t="s">
        <v>35</v>
      </c>
    </row>
    <row r="100" spans="1:18" ht="16.5" thickBot="1" x14ac:dyDescent="0.3">
      <c r="A100" s="1">
        <v>8</v>
      </c>
      <c r="B100" s="2">
        <v>5.4897999999999998</v>
      </c>
      <c r="C100" s="2">
        <v>910.99150399999996</v>
      </c>
      <c r="D100" s="3">
        <v>1.09796</v>
      </c>
      <c r="I100" s="26">
        <v>89.630136989999997</v>
      </c>
      <c r="J100" s="27">
        <v>7.3150684930000001</v>
      </c>
      <c r="K100" s="30">
        <v>85.739523809999994</v>
      </c>
      <c r="L100" s="26">
        <v>70.442857140000001</v>
      </c>
      <c r="M100" s="27">
        <v>80.057142859999999</v>
      </c>
      <c r="N100" s="28">
        <v>73.234428570000006</v>
      </c>
    </row>
    <row r="101" spans="1:18" ht="16.5" thickBot="1" x14ac:dyDescent="0.3">
      <c r="A101" s="11">
        <v>16</v>
      </c>
      <c r="B101" s="6">
        <v>5.4013799999999996</v>
      </c>
      <c r="C101" s="6">
        <v>928.68585199999995</v>
      </c>
      <c r="D101" s="7">
        <v>1.080276</v>
      </c>
    </row>
    <row r="102" spans="1:18" ht="15.75" thickBot="1" x14ac:dyDescent="0.3"/>
    <row r="103" spans="1:18" ht="15" customHeight="1" x14ac:dyDescent="0.25">
      <c r="A103" s="64" t="s">
        <v>19</v>
      </c>
      <c r="B103" s="65"/>
      <c r="C103" s="65"/>
      <c r="D103" s="66"/>
      <c r="E103" s="70" t="s">
        <v>17</v>
      </c>
      <c r="F103" s="71"/>
      <c r="G103" s="71"/>
      <c r="H103" s="72"/>
      <c r="I103" s="58" t="s">
        <v>5</v>
      </c>
      <c r="J103" s="59"/>
      <c r="K103" s="59"/>
      <c r="L103" s="59"/>
      <c r="M103" s="59"/>
      <c r="N103" s="59"/>
      <c r="O103" s="59"/>
      <c r="P103" s="59"/>
      <c r="Q103" s="59"/>
      <c r="R103" s="60"/>
    </row>
    <row r="104" spans="1:18" ht="15.75" customHeight="1" thickBot="1" x14ac:dyDescent="0.3">
      <c r="A104" s="52"/>
      <c r="B104" s="53"/>
      <c r="C104" s="53"/>
      <c r="D104" s="54"/>
      <c r="E104" s="55"/>
      <c r="F104" s="56"/>
      <c r="G104" s="56"/>
      <c r="H104" s="57"/>
      <c r="I104" s="61"/>
      <c r="J104" s="62"/>
      <c r="K104" s="62"/>
      <c r="L104" s="62"/>
      <c r="M104" s="62"/>
      <c r="N104" s="62"/>
      <c r="O104" s="62"/>
      <c r="P104" s="62"/>
      <c r="Q104" s="62"/>
      <c r="R104" s="63"/>
    </row>
    <row r="105" spans="1:18" ht="15.75" customHeight="1" x14ac:dyDescent="0.25">
      <c r="A105" s="9" t="s">
        <v>20</v>
      </c>
      <c r="B105" s="8" t="s">
        <v>6</v>
      </c>
      <c r="C105" s="8" t="s">
        <v>7</v>
      </c>
      <c r="D105" s="10" t="s">
        <v>21</v>
      </c>
      <c r="E105" s="9" t="s">
        <v>18</v>
      </c>
      <c r="F105" s="8" t="s">
        <v>6</v>
      </c>
      <c r="G105" s="8" t="s">
        <v>7</v>
      </c>
      <c r="H105" s="10" t="s">
        <v>8</v>
      </c>
      <c r="I105" s="9" t="s">
        <v>0</v>
      </c>
      <c r="J105" s="8" t="s">
        <v>18</v>
      </c>
      <c r="K105" s="8" t="s">
        <v>12</v>
      </c>
      <c r="L105" s="8" t="s">
        <v>13</v>
      </c>
      <c r="M105" s="8" t="s">
        <v>1</v>
      </c>
      <c r="N105" s="8" t="s">
        <v>22</v>
      </c>
      <c r="O105" s="8" t="s">
        <v>13</v>
      </c>
      <c r="P105" s="8" t="s">
        <v>2</v>
      </c>
      <c r="Q105" s="8" t="s">
        <v>4</v>
      </c>
      <c r="R105" s="10" t="s">
        <v>3</v>
      </c>
    </row>
    <row r="106" spans="1:18" ht="16.5" customHeight="1" thickBot="1" x14ac:dyDescent="0.3">
      <c r="A106" s="1">
        <v>1</v>
      </c>
      <c r="B106" s="2">
        <v>40.627939400000002</v>
      </c>
      <c r="C106" s="2">
        <v>246.14150100000001</v>
      </c>
      <c r="D106" s="3">
        <v>4.0627940000000002</v>
      </c>
      <c r="E106" s="1">
        <v>2</v>
      </c>
      <c r="F106" s="2">
        <v>14.707590400000001</v>
      </c>
      <c r="G106" s="2">
        <v>679.92130139999995</v>
      </c>
      <c r="H106" s="3" t="s">
        <v>9</v>
      </c>
      <c r="I106" s="21">
        <v>10000000</v>
      </c>
      <c r="J106" s="22">
        <v>2</v>
      </c>
      <c r="K106" s="15">
        <v>14.7222144</v>
      </c>
      <c r="L106" s="15">
        <v>679.24986579999995</v>
      </c>
      <c r="M106" s="15">
        <f>SUM(L106/K109)</f>
        <v>7.7351799582752951</v>
      </c>
      <c r="N106" s="15">
        <v>9.5056799999999999</v>
      </c>
      <c r="O106" s="6">
        <v>1059.0863039999999</v>
      </c>
      <c r="P106" s="6">
        <f>SUM(O106/N109)</f>
        <v>13.328364774510305</v>
      </c>
      <c r="Q106" s="6">
        <v>0.6457292</v>
      </c>
      <c r="R106" s="7">
        <v>0.19522059999999999</v>
      </c>
    </row>
    <row r="107" spans="1:18" ht="15.75" x14ac:dyDescent="0.25">
      <c r="A107" s="1">
        <v>2</v>
      </c>
      <c r="B107" s="2">
        <v>21.0809602</v>
      </c>
      <c r="C107" s="2">
        <v>474.41536860000002</v>
      </c>
      <c r="D107" s="3">
        <v>2.1080960000000002</v>
      </c>
      <c r="E107" s="1">
        <v>3</v>
      </c>
      <c r="F107" s="2">
        <v>14.216678399999999</v>
      </c>
      <c r="G107" s="2">
        <v>703.41143799999998</v>
      </c>
      <c r="H107" s="12" t="s">
        <v>9</v>
      </c>
      <c r="I107" s="37" t="s">
        <v>28</v>
      </c>
      <c r="J107" s="38"/>
      <c r="K107" s="39"/>
      <c r="L107" s="37" t="s">
        <v>36</v>
      </c>
      <c r="M107" s="38"/>
      <c r="N107" s="39"/>
    </row>
    <row r="108" spans="1:18" ht="16.5" thickBot="1" x14ac:dyDescent="0.3">
      <c r="A108" s="4">
        <v>4</v>
      </c>
      <c r="B108" s="2">
        <v>11.563040000000001</v>
      </c>
      <c r="C108" s="2">
        <v>868.73131120000005</v>
      </c>
      <c r="D108" s="3">
        <v>1.156304</v>
      </c>
      <c r="E108" s="11">
        <v>4</v>
      </c>
      <c r="F108" s="6">
        <v>13.719398399999999</v>
      </c>
      <c r="G108" s="6">
        <v>728.89655760000005</v>
      </c>
      <c r="H108" s="20" t="s">
        <v>9</v>
      </c>
      <c r="I108" s="23" t="s">
        <v>29</v>
      </c>
      <c r="J108" s="24" t="s">
        <v>31</v>
      </c>
      <c r="K108" s="29" t="s">
        <v>30</v>
      </c>
      <c r="L108" s="23" t="s">
        <v>33</v>
      </c>
      <c r="M108" s="24" t="s">
        <v>34</v>
      </c>
      <c r="N108" s="25" t="s">
        <v>35</v>
      </c>
    </row>
    <row r="109" spans="1:18" ht="16.5" thickBot="1" x14ac:dyDescent="0.3">
      <c r="A109" s="1">
        <v>8</v>
      </c>
      <c r="B109" s="2">
        <v>10.01516</v>
      </c>
      <c r="C109" s="2">
        <v>999.03776860000005</v>
      </c>
      <c r="D109" s="3">
        <v>1.0015160000000001</v>
      </c>
      <c r="I109" s="26">
        <v>95.978102190000001</v>
      </c>
      <c r="J109" s="27">
        <v>7.8029197080000001</v>
      </c>
      <c r="K109" s="30">
        <v>87.813065690000002</v>
      </c>
      <c r="L109" s="26">
        <v>88.575000000000003</v>
      </c>
      <c r="M109" s="27">
        <v>99.791666669999998</v>
      </c>
      <c r="N109" s="28">
        <v>79.461083329999994</v>
      </c>
    </row>
    <row r="110" spans="1:18" ht="16.5" thickBot="1" x14ac:dyDescent="0.3">
      <c r="A110" s="11">
        <v>16</v>
      </c>
      <c r="B110" s="6">
        <v>10.90836</v>
      </c>
      <c r="C110" s="6">
        <v>926.6381834</v>
      </c>
      <c r="D110" s="7">
        <v>1.0908359999999999</v>
      </c>
    </row>
    <row r="111" spans="1:18" ht="15.75" thickBot="1" x14ac:dyDescent="0.3"/>
    <row r="112" spans="1:18" ht="15" customHeight="1" x14ac:dyDescent="0.25">
      <c r="A112" s="40" t="s">
        <v>23</v>
      </c>
      <c r="B112" s="41"/>
      <c r="C112" s="41"/>
      <c r="D112" s="42"/>
      <c r="F112" s="31" t="s">
        <v>37</v>
      </c>
      <c r="G112" s="32"/>
      <c r="H112" s="33"/>
    </row>
    <row r="113" spans="1:18" ht="15.75" customHeight="1" thickBot="1" x14ac:dyDescent="0.3">
      <c r="A113" s="76"/>
      <c r="B113" s="77"/>
      <c r="C113" s="77"/>
      <c r="D113" s="78"/>
      <c r="F113" s="34"/>
      <c r="G113" s="35"/>
      <c r="H113" s="36"/>
    </row>
    <row r="114" spans="1:18" ht="15" customHeight="1" x14ac:dyDescent="0.25">
      <c r="A114" s="9" t="s">
        <v>24</v>
      </c>
      <c r="B114" s="8" t="s">
        <v>6</v>
      </c>
      <c r="C114" s="8" t="s">
        <v>7</v>
      </c>
      <c r="D114" s="10" t="s">
        <v>8</v>
      </c>
      <c r="F114" s="9" t="s">
        <v>38</v>
      </c>
      <c r="G114" s="8" t="s">
        <v>40</v>
      </c>
      <c r="H114" s="10" t="s">
        <v>39</v>
      </c>
    </row>
    <row r="115" spans="1:18" ht="15.75" customHeight="1" thickBot="1" x14ac:dyDescent="0.3">
      <c r="A115" s="4">
        <v>1024</v>
      </c>
      <c r="B115" s="2">
        <v>0.21559680000000001</v>
      </c>
      <c r="C115" s="2">
        <v>7.3289964000000003</v>
      </c>
      <c r="D115" s="3" t="s">
        <v>9</v>
      </c>
      <c r="F115" s="11">
        <v>23655424</v>
      </c>
      <c r="G115" s="6">
        <v>16</v>
      </c>
      <c r="H115" s="7">
        <v>360.95</v>
      </c>
    </row>
    <row r="116" spans="1:18" ht="15.75" x14ac:dyDescent="0.25">
      <c r="A116" s="4">
        <v>8192</v>
      </c>
      <c r="B116" s="2">
        <v>9.8374400000000001E-2</v>
      </c>
      <c r="C116" s="2">
        <v>163.20017859999999</v>
      </c>
      <c r="D116" s="3" t="s">
        <v>9</v>
      </c>
    </row>
    <row r="117" spans="1:18" ht="15.75" x14ac:dyDescent="0.25">
      <c r="A117" s="4">
        <v>65536</v>
      </c>
      <c r="B117" s="2">
        <v>6.1887999999999999E-2</v>
      </c>
      <c r="C117" s="2">
        <v>1489.945502</v>
      </c>
      <c r="D117" s="3" t="s">
        <v>10</v>
      </c>
    </row>
    <row r="118" spans="1:18" ht="15.75" x14ac:dyDescent="0.25">
      <c r="A118" s="4">
        <v>524288</v>
      </c>
      <c r="B118" s="2">
        <v>0.2406848</v>
      </c>
      <c r="C118" s="2">
        <v>3673.8885740000001</v>
      </c>
      <c r="D118" s="3" t="s">
        <v>10</v>
      </c>
      <c r="F118" s="14" t="s">
        <v>25</v>
      </c>
    </row>
    <row r="119" spans="1:18" ht="15.75" x14ac:dyDescent="0.25">
      <c r="A119" s="4">
        <v>1048576</v>
      </c>
      <c r="B119" s="2">
        <v>0.2426816</v>
      </c>
      <c r="C119" s="2">
        <v>4551.6781250000004</v>
      </c>
      <c r="D119" s="3" t="s">
        <v>10</v>
      </c>
    </row>
    <row r="120" spans="1:18" ht="15.75" x14ac:dyDescent="0.25">
      <c r="A120" s="4">
        <v>5000000</v>
      </c>
      <c r="B120" s="2">
        <v>0.84075520000000004</v>
      </c>
      <c r="C120" s="2">
        <v>5952.1283199999998</v>
      </c>
      <c r="D120" s="3" t="s">
        <v>10</v>
      </c>
    </row>
    <row r="121" spans="1:18" ht="16.5" thickBot="1" x14ac:dyDescent="0.3">
      <c r="A121" s="5">
        <v>10000000</v>
      </c>
      <c r="B121" s="6">
        <v>1.6011328</v>
      </c>
      <c r="C121" s="6">
        <v>6308.5898440000001</v>
      </c>
      <c r="D121" s="7" t="s">
        <v>10</v>
      </c>
    </row>
    <row r="123" spans="1:18" ht="15.75" thickBot="1" x14ac:dyDescent="0.3"/>
    <row r="124" spans="1:18" ht="15" customHeight="1" x14ac:dyDescent="0.25">
      <c r="A124" s="46" t="s">
        <v>26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8"/>
    </row>
    <row r="125" spans="1:18" ht="15.75" customHeight="1" thickBot="1" x14ac:dyDescent="0.3">
      <c r="A125" s="49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1"/>
    </row>
    <row r="126" spans="1:18" ht="15" customHeight="1" x14ac:dyDescent="0.25">
      <c r="A126" s="64" t="s">
        <v>19</v>
      </c>
      <c r="B126" s="65"/>
      <c r="C126" s="65"/>
      <c r="D126" s="66"/>
      <c r="E126" s="70" t="s">
        <v>17</v>
      </c>
      <c r="F126" s="71"/>
      <c r="G126" s="71"/>
      <c r="H126" s="72"/>
      <c r="I126" s="58" t="s">
        <v>5</v>
      </c>
      <c r="J126" s="59"/>
      <c r="K126" s="59"/>
      <c r="L126" s="59"/>
      <c r="M126" s="59"/>
      <c r="N126" s="59"/>
      <c r="O126" s="59"/>
      <c r="P126" s="59"/>
      <c r="Q126" s="59"/>
      <c r="R126" s="60"/>
    </row>
    <row r="127" spans="1:18" ht="15.75" customHeight="1" thickBot="1" x14ac:dyDescent="0.3">
      <c r="A127" s="52"/>
      <c r="B127" s="53"/>
      <c r="C127" s="53"/>
      <c r="D127" s="54"/>
      <c r="E127" s="55"/>
      <c r="F127" s="56"/>
      <c r="G127" s="56"/>
      <c r="H127" s="57"/>
      <c r="I127" s="61"/>
      <c r="J127" s="62"/>
      <c r="K127" s="62"/>
      <c r="L127" s="62"/>
      <c r="M127" s="62"/>
      <c r="N127" s="62"/>
      <c r="O127" s="62"/>
      <c r="P127" s="62"/>
      <c r="Q127" s="62"/>
      <c r="R127" s="63"/>
    </row>
    <row r="128" spans="1:18" ht="15.75" x14ac:dyDescent="0.25">
      <c r="A128" s="9" t="s">
        <v>20</v>
      </c>
      <c r="B128" s="8" t="s">
        <v>6</v>
      </c>
      <c r="C128" s="8" t="s">
        <v>7</v>
      </c>
      <c r="D128" s="10" t="s">
        <v>21</v>
      </c>
      <c r="E128" s="9" t="s">
        <v>18</v>
      </c>
      <c r="F128" s="8" t="s">
        <v>6</v>
      </c>
      <c r="G128" s="8" t="s">
        <v>7</v>
      </c>
      <c r="H128" s="10" t="s">
        <v>8</v>
      </c>
      <c r="I128" s="9" t="s">
        <v>0</v>
      </c>
      <c r="J128" s="8" t="s">
        <v>18</v>
      </c>
      <c r="K128" s="8" t="s">
        <v>12</v>
      </c>
      <c r="L128" s="8" t="s">
        <v>13</v>
      </c>
      <c r="M128" s="8" t="s">
        <v>1</v>
      </c>
      <c r="N128" s="8" t="s">
        <v>22</v>
      </c>
      <c r="O128" s="8" t="s">
        <v>13</v>
      </c>
      <c r="P128" s="8" t="s">
        <v>2</v>
      </c>
      <c r="Q128" s="8" t="s">
        <v>4</v>
      </c>
      <c r="R128" s="10" t="s">
        <v>3</v>
      </c>
    </row>
    <row r="129" spans="1:18" ht="16.5" thickBot="1" x14ac:dyDescent="0.3">
      <c r="A129" s="1">
        <v>1</v>
      </c>
      <c r="B129" s="2">
        <v>59.953119800000003</v>
      </c>
      <c r="C129" s="2">
        <v>16.679726800000001</v>
      </c>
      <c r="D129" s="3">
        <v>59.953119800000003</v>
      </c>
      <c r="E129" s="1">
        <v>2</v>
      </c>
      <c r="F129" s="2">
        <v>1.5897536000000001</v>
      </c>
      <c r="G129" s="2">
        <v>629.04525139999998</v>
      </c>
      <c r="H129" s="3" t="s">
        <v>9</v>
      </c>
      <c r="I129" s="21">
        <v>1000000</v>
      </c>
      <c r="J129" s="22">
        <v>2</v>
      </c>
      <c r="K129" s="15">
        <v>1.5852864</v>
      </c>
      <c r="L129" s="15">
        <v>630.82606199999998</v>
      </c>
      <c r="M129" s="15">
        <f>SUM(L129/K132)</f>
        <v>7.8913367541682131</v>
      </c>
      <c r="N129" s="15">
        <v>5.2713599999999996</v>
      </c>
      <c r="O129" s="6">
        <v>189.8383422</v>
      </c>
      <c r="P129" s="6">
        <f>SUM(O129/N132)</f>
        <v>2.5437889222315775</v>
      </c>
      <c r="Q129" s="6">
        <v>3.3250427999999999</v>
      </c>
      <c r="R129" s="7">
        <v>1.0052456000000001</v>
      </c>
    </row>
    <row r="130" spans="1:18" ht="15.75" x14ac:dyDescent="0.25">
      <c r="A130" s="1">
        <v>2</v>
      </c>
      <c r="B130" s="2">
        <v>32.234819799999997</v>
      </c>
      <c r="C130" s="2">
        <v>31.153633800000001</v>
      </c>
      <c r="D130" s="3">
        <v>32.234819799999997</v>
      </c>
      <c r="E130" s="1">
        <v>3</v>
      </c>
      <c r="F130" s="2">
        <v>1.5331456000000001</v>
      </c>
      <c r="G130" s="2">
        <v>652.39154040000005</v>
      </c>
      <c r="H130" s="12" t="s">
        <v>9</v>
      </c>
      <c r="I130" s="37" t="s">
        <v>28</v>
      </c>
      <c r="J130" s="38"/>
      <c r="K130" s="39"/>
      <c r="L130" s="37" t="s">
        <v>36</v>
      </c>
      <c r="M130" s="38"/>
      <c r="N130" s="39"/>
    </row>
    <row r="131" spans="1:18" ht="16.5" thickBot="1" x14ac:dyDescent="0.3">
      <c r="A131" s="4">
        <v>4</v>
      </c>
      <c r="B131" s="2">
        <v>15.807499999999999</v>
      </c>
      <c r="C131" s="2">
        <v>63.271144</v>
      </c>
      <c r="D131" s="3">
        <v>15.807499999999999</v>
      </c>
      <c r="E131" s="11">
        <v>4</v>
      </c>
      <c r="F131" s="6">
        <v>1.4976128</v>
      </c>
      <c r="G131" s="6">
        <v>667.83846440000002</v>
      </c>
      <c r="H131" s="20" t="s">
        <v>9</v>
      </c>
      <c r="I131" s="23" t="s">
        <v>29</v>
      </c>
      <c r="J131" s="24" t="s">
        <v>31</v>
      </c>
      <c r="K131" s="29" t="s">
        <v>30</v>
      </c>
      <c r="L131" s="23" t="s">
        <v>33</v>
      </c>
      <c r="M131" s="24" t="s">
        <v>34</v>
      </c>
      <c r="N131" s="25" t="s">
        <v>35</v>
      </c>
    </row>
    <row r="132" spans="1:18" ht="16.5" thickBot="1" x14ac:dyDescent="0.3">
      <c r="A132" s="1">
        <v>8</v>
      </c>
      <c r="B132" s="2">
        <v>10.374599999999999</v>
      </c>
      <c r="C132" s="2">
        <v>96.450373799999994</v>
      </c>
      <c r="D132" s="3">
        <v>10.374599999999999</v>
      </c>
      <c r="I132" s="26">
        <v>47.892857139999997</v>
      </c>
      <c r="J132" s="27">
        <v>4.2857142860000002</v>
      </c>
      <c r="K132" s="30">
        <v>79.939062500000006</v>
      </c>
      <c r="L132" s="26">
        <v>68.218181819999998</v>
      </c>
      <c r="M132" s="27">
        <v>76.509090909999998</v>
      </c>
      <c r="N132" s="28">
        <v>74.628181819999995</v>
      </c>
    </row>
    <row r="133" spans="1:18" ht="16.5" thickBot="1" x14ac:dyDescent="0.3">
      <c r="A133" s="11">
        <v>16</v>
      </c>
      <c r="B133" s="6">
        <v>8.1987199999999998</v>
      </c>
      <c r="C133" s="6">
        <v>122.0358918</v>
      </c>
      <c r="D133" s="7">
        <v>8.1987199999999998</v>
      </c>
    </row>
    <row r="134" spans="1:18" ht="15.75" thickBot="1" x14ac:dyDescent="0.3"/>
    <row r="135" spans="1:18" ht="15" customHeight="1" x14ac:dyDescent="0.25">
      <c r="A135" s="64" t="s">
        <v>19</v>
      </c>
      <c r="B135" s="65"/>
      <c r="C135" s="65"/>
      <c r="D135" s="66"/>
      <c r="E135" s="70" t="s">
        <v>17</v>
      </c>
      <c r="F135" s="71"/>
      <c r="G135" s="71"/>
      <c r="H135" s="72"/>
      <c r="I135" s="58" t="s">
        <v>5</v>
      </c>
      <c r="J135" s="59"/>
      <c r="K135" s="59"/>
      <c r="L135" s="59"/>
      <c r="M135" s="59"/>
      <c r="N135" s="59"/>
      <c r="O135" s="59"/>
      <c r="P135" s="59"/>
      <c r="Q135" s="59"/>
      <c r="R135" s="60"/>
    </row>
    <row r="136" spans="1:18" ht="15.75" customHeight="1" thickBot="1" x14ac:dyDescent="0.3">
      <c r="A136" s="52"/>
      <c r="B136" s="53"/>
      <c r="C136" s="53"/>
      <c r="D136" s="54"/>
      <c r="E136" s="55"/>
      <c r="F136" s="56"/>
      <c r="G136" s="56"/>
      <c r="H136" s="57"/>
      <c r="I136" s="61"/>
      <c r="J136" s="62"/>
      <c r="K136" s="62"/>
      <c r="L136" s="62"/>
      <c r="M136" s="62"/>
      <c r="N136" s="62"/>
      <c r="O136" s="62"/>
      <c r="P136" s="62"/>
      <c r="Q136" s="62"/>
      <c r="R136" s="63"/>
    </row>
    <row r="137" spans="1:18" ht="15.75" x14ac:dyDescent="0.25">
      <c r="A137" s="9" t="s">
        <v>20</v>
      </c>
      <c r="B137" s="8" t="s">
        <v>6</v>
      </c>
      <c r="C137" s="8" t="s">
        <v>7</v>
      </c>
      <c r="D137" s="10" t="s">
        <v>21</v>
      </c>
      <c r="E137" s="9" t="s">
        <v>18</v>
      </c>
      <c r="F137" s="8" t="s">
        <v>6</v>
      </c>
      <c r="G137" s="8" t="s">
        <v>7</v>
      </c>
      <c r="H137" s="10" t="s">
        <v>8</v>
      </c>
      <c r="I137" s="9" t="s">
        <v>0</v>
      </c>
      <c r="J137" s="8" t="s">
        <v>18</v>
      </c>
      <c r="K137" s="8" t="s">
        <v>12</v>
      </c>
      <c r="L137" s="8" t="s">
        <v>13</v>
      </c>
      <c r="M137" s="8" t="s">
        <v>1</v>
      </c>
      <c r="N137" s="8" t="s">
        <v>22</v>
      </c>
      <c r="O137" s="8" t="s">
        <v>13</v>
      </c>
      <c r="P137" s="8" t="s">
        <v>2</v>
      </c>
      <c r="Q137" s="8" t="s">
        <v>4</v>
      </c>
      <c r="R137" s="10" t="s">
        <v>3</v>
      </c>
    </row>
    <row r="138" spans="1:18" ht="16.5" thickBot="1" x14ac:dyDescent="0.3">
      <c r="A138" s="1">
        <v>1</v>
      </c>
      <c r="B138" s="2">
        <v>301.79487920000003</v>
      </c>
      <c r="C138" s="2">
        <v>16.567672600000002</v>
      </c>
      <c r="D138" s="3">
        <v>60.358975999999998</v>
      </c>
      <c r="E138" s="1">
        <v>2</v>
      </c>
      <c r="F138" s="2">
        <v>7.4595712000000001</v>
      </c>
      <c r="G138" s="2">
        <v>670.35784939999996</v>
      </c>
      <c r="H138" s="3" t="s">
        <v>9</v>
      </c>
      <c r="I138" s="21">
        <v>5000000</v>
      </c>
      <c r="J138" s="22">
        <v>2</v>
      </c>
      <c r="K138" s="15">
        <v>7.4682880000000003</v>
      </c>
      <c r="L138" s="15">
        <v>669.51766359999999</v>
      </c>
      <c r="M138" s="15">
        <f>SUM(L138/K141)</f>
        <v>7.8058030162002554</v>
      </c>
      <c r="N138" s="15">
        <v>27.3795</v>
      </c>
      <c r="O138" s="6">
        <v>184.07324539999999</v>
      </c>
      <c r="P138" s="6">
        <f>SUM(O138/N141)</f>
        <v>2.2137176655851261</v>
      </c>
      <c r="Q138" s="6">
        <v>3.6670848</v>
      </c>
      <c r="R138" s="7">
        <v>1.1086536</v>
      </c>
    </row>
    <row r="139" spans="1:18" ht="15.75" x14ac:dyDescent="0.25">
      <c r="A139" s="1">
        <v>2</v>
      </c>
      <c r="B139" s="2">
        <v>154.02280279999999</v>
      </c>
      <c r="C139" s="2">
        <v>32.4691434</v>
      </c>
      <c r="D139" s="3">
        <v>30.804559999999999</v>
      </c>
      <c r="E139" s="1">
        <v>3</v>
      </c>
      <c r="F139" s="2">
        <v>7.2163519999999997</v>
      </c>
      <c r="G139" s="2">
        <v>692.93301980000001</v>
      </c>
      <c r="H139" s="12" t="s">
        <v>9</v>
      </c>
      <c r="I139" s="37" t="s">
        <v>28</v>
      </c>
      <c r="J139" s="38"/>
      <c r="K139" s="39"/>
      <c r="L139" s="37" t="s">
        <v>36</v>
      </c>
      <c r="M139" s="38"/>
      <c r="N139" s="39"/>
    </row>
    <row r="140" spans="1:18" ht="15.75" x14ac:dyDescent="0.25">
      <c r="A140" s="4">
        <v>4</v>
      </c>
      <c r="B140" s="2">
        <v>80.217877200000004</v>
      </c>
      <c r="C140" s="2">
        <v>62.407966999999999</v>
      </c>
      <c r="D140" s="3">
        <v>16.043575400000002</v>
      </c>
      <c r="E140" s="1">
        <v>4</v>
      </c>
      <c r="F140" s="2">
        <v>6.9627775999999999</v>
      </c>
      <c r="G140" s="2">
        <v>718.16102279999996</v>
      </c>
      <c r="H140" s="12" t="s">
        <v>9</v>
      </c>
      <c r="I140" s="23" t="s">
        <v>29</v>
      </c>
      <c r="J140" s="24" t="s">
        <v>31</v>
      </c>
      <c r="K140" s="29" t="s">
        <v>30</v>
      </c>
      <c r="L140" s="23" t="s">
        <v>33</v>
      </c>
      <c r="M140" s="24" t="s">
        <v>34</v>
      </c>
      <c r="N140" s="25" t="s">
        <v>35</v>
      </c>
    </row>
    <row r="141" spans="1:18" ht="16.5" thickBot="1" x14ac:dyDescent="0.3">
      <c r="A141" s="1">
        <v>8</v>
      </c>
      <c r="B141" s="2">
        <v>46.679158800000003</v>
      </c>
      <c r="C141" s="2">
        <v>107.1622438</v>
      </c>
      <c r="D141" s="3">
        <v>9.3358319999999999</v>
      </c>
      <c r="E141" s="11"/>
      <c r="F141" s="6"/>
      <c r="G141" s="6"/>
      <c r="H141" s="20"/>
      <c r="I141" s="26">
        <v>81.407407410000005</v>
      </c>
      <c r="J141" s="27">
        <v>6.7530864199999998</v>
      </c>
      <c r="K141" s="30">
        <v>85.771785710000003</v>
      </c>
      <c r="L141" s="26">
        <v>87.973684210000002</v>
      </c>
      <c r="M141" s="27">
        <v>98.063157889999999</v>
      </c>
      <c r="N141" s="28">
        <v>83.151184209999997</v>
      </c>
    </row>
    <row r="142" spans="1:18" ht="16.5" thickBot="1" x14ac:dyDescent="0.3">
      <c r="A142" s="11">
        <v>16</v>
      </c>
      <c r="B142" s="6">
        <v>30.268399800000001</v>
      </c>
      <c r="C142" s="6">
        <v>165.1979676</v>
      </c>
      <c r="D142" s="7">
        <v>6.0536799999999999</v>
      </c>
    </row>
    <row r="143" spans="1:18" ht="15.75" thickBot="1" x14ac:dyDescent="0.3"/>
    <row r="144" spans="1:18" ht="15" customHeight="1" x14ac:dyDescent="0.25">
      <c r="A144" s="64" t="s">
        <v>19</v>
      </c>
      <c r="B144" s="65"/>
      <c r="C144" s="65"/>
      <c r="D144" s="66"/>
      <c r="E144" s="70" t="s">
        <v>17</v>
      </c>
      <c r="F144" s="71"/>
      <c r="G144" s="71"/>
      <c r="H144" s="72"/>
      <c r="I144" s="58" t="s">
        <v>5</v>
      </c>
      <c r="J144" s="59"/>
      <c r="K144" s="59"/>
      <c r="L144" s="59"/>
      <c r="M144" s="59"/>
      <c r="N144" s="59"/>
      <c r="O144" s="59"/>
      <c r="P144" s="59"/>
      <c r="Q144" s="59"/>
      <c r="R144" s="60"/>
    </row>
    <row r="145" spans="1:18" ht="15.75" customHeight="1" thickBot="1" x14ac:dyDescent="0.3">
      <c r="A145" s="52"/>
      <c r="B145" s="53"/>
      <c r="C145" s="53"/>
      <c r="D145" s="54"/>
      <c r="E145" s="55"/>
      <c r="F145" s="56"/>
      <c r="G145" s="56"/>
      <c r="H145" s="57"/>
      <c r="I145" s="61"/>
      <c r="J145" s="62"/>
      <c r="K145" s="62"/>
      <c r="L145" s="62"/>
      <c r="M145" s="62"/>
      <c r="N145" s="62"/>
      <c r="O145" s="62"/>
      <c r="P145" s="62"/>
      <c r="Q145" s="62"/>
      <c r="R145" s="63"/>
    </row>
    <row r="146" spans="1:18" ht="15.75" x14ac:dyDescent="0.25">
      <c r="A146" s="9" t="s">
        <v>20</v>
      </c>
      <c r="B146" s="8" t="s">
        <v>6</v>
      </c>
      <c r="C146" s="8" t="s">
        <v>7</v>
      </c>
      <c r="D146" s="10" t="s">
        <v>21</v>
      </c>
      <c r="E146" s="9" t="s">
        <v>18</v>
      </c>
      <c r="F146" s="8" t="s">
        <v>6</v>
      </c>
      <c r="G146" s="8" t="s">
        <v>7</v>
      </c>
      <c r="H146" s="10" t="s">
        <v>8</v>
      </c>
      <c r="I146" s="9" t="s">
        <v>0</v>
      </c>
      <c r="J146" s="8" t="s">
        <v>18</v>
      </c>
      <c r="K146" s="8" t="s">
        <v>12</v>
      </c>
      <c r="L146" s="8" t="s">
        <v>13</v>
      </c>
      <c r="M146" s="8" t="s">
        <v>1</v>
      </c>
      <c r="N146" s="8" t="s">
        <v>22</v>
      </c>
      <c r="O146" s="8" t="s">
        <v>13</v>
      </c>
      <c r="P146" s="8" t="s">
        <v>2</v>
      </c>
      <c r="Q146" s="8" t="s">
        <v>4</v>
      </c>
      <c r="R146" s="10" t="s">
        <v>3</v>
      </c>
    </row>
    <row r="147" spans="1:18" ht="16.5" thickBot="1" x14ac:dyDescent="0.3">
      <c r="A147" s="1">
        <v>1</v>
      </c>
      <c r="B147" s="2">
        <v>605.38666980000005</v>
      </c>
      <c r="C147" s="2">
        <v>16.518398000000001</v>
      </c>
      <c r="D147" s="3">
        <v>60.538667599999997</v>
      </c>
      <c r="E147" s="1">
        <v>2</v>
      </c>
      <c r="F147" s="2">
        <v>14.649702400000001</v>
      </c>
      <c r="G147" s="2">
        <v>682.61009520000005</v>
      </c>
      <c r="H147" s="3" t="s">
        <v>9</v>
      </c>
      <c r="I147" s="21">
        <v>10000000</v>
      </c>
      <c r="J147" s="22">
        <v>2</v>
      </c>
      <c r="K147" s="15">
        <v>14.706412800000001</v>
      </c>
      <c r="L147" s="15">
        <v>679.98912340000004</v>
      </c>
      <c r="M147" s="15">
        <f>SUM(L147/K150)</f>
        <v>7.7454577810366727</v>
      </c>
      <c r="N147" s="15">
        <v>53.105519999999999</v>
      </c>
      <c r="O147" s="6">
        <v>188.33020619999999</v>
      </c>
      <c r="P147" s="6">
        <f>SUM(O147/N150)</f>
        <v>2.1561881968086318</v>
      </c>
      <c r="Q147" s="6">
        <v>3.6111797999999999</v>
      </c>
      <c r="R147" s="7">
        <v>1.0917522</v>
      </c>
    </row>
    <row r="148" spans="1:18" ht="15.75" x14ac:dyDescent="0.25">
      <c r="A148" s="1">
        <v>2</v>
      </c>
      <c r="B148" s="2">
        <v>319.98614500000002</v>
      </c>
      <c r="C148" s="2">
        <v>31.454514400000001</v>
      </c>
      <c r="D148" s="3">
        <v>31.998614199999999</v>
      </c>
      <c r="E148" s="1">
        <v>3</v>
      </c>
      <c r="F148" s="2">
        <v>14.1666688</v>
      </c>
      <c r="G148" s="2">
        <v>705.90457739999999</v>
      </c>
      <c r="H148" s="12" t="s">
        <v>9</v>
      </c>
      <c r="I148" s="37" t="s">
        <v>28</v>
      </c>
      <c r="J148" s="38"/>
      <c r="K148" s="39"/>
      <c r="L148" s="37" t="s">
        <v>36</v>
      </c>
      <c r="M148" s="38"/>
      <c r="N148" s="39"/>
    </row>
    <row r="149" spans="1:18" ht="16.5" thickBot="1" x14ac:dyDescent="0.3">
      <c r="A149" s="4">
        <v>4</v>
      </c>
      <c r="B149" s="2">
        <v>168.2464444</v>
      </c>
      <c r="C149" s="2">
        <v>59.970810800000002</v>
      </c>
      <c r="D149" s="3">
        <v>16.824644200000002</v>
      </c>
      <c r="E149" s="11">
        <v>4</v>
      </c>
      <c r="F149" s="6">
        <v>13.726144</v>
      </c>
      <c r="G149" s="6">
        <v>728.55638439999996</v>
      </c>
      <c r="H149" s="20" t="s">
        <v>9</v>
      </c>
      <c r="I149" s="23" t="s">
        <v>29</v>
      </c>
      <c r="J149" s="24" t="s">
        <v>31</v>
      </c>
      <c r="K149" s="29" t="s">
        <v>30</v>
      </c>
      <c r="L149" s="23" t="s">
        <v>33</v>
      </c>
      <c r="M149" s="24" t="s">
        <v>34</v>
      </c>
      <c r="N149" s="25" t="s">
        <v>35</v>
      </c>
    </row>
    <row r="150" spans="1:18" ht="16.5" thickBot="1" x14ac:dyDescent="0.3">
      <c r="A150" s="1">
        <v>8</v>
      </c>
      <c r="B150" s="2">
        <v>93.949001800000005</v>
      </c>
      <c r="C150" s="2">
        <v>106.876088</v>
      </c>
      <c r="D150" s="3">
        <v>9.3949003999999992</v>
      </c>
      <c r="I150" s="26">
        <v>89.815068490000002</v>
      </c>
      <c r="J150" s="27">
        <v>7.3287671230000004</v>
      </c>
      <c r="K150" s="30">
        <v>87.791986300000005</v>
      </c>
      <c r="L150" s="26">
        <v>99.454838710000004</v>
      </c>
      <c r="M150" s="27">
        <v>110.79354840000001</v>
      </c>
      <c r="N150" s="28">
        <v>87.344048389999998</v>
      </c>
    </row>
    <row r="151" spans="1:18" ht="16.5" thickBot="1" x14ac:dyDescent="0.3">
      <c r="A151" s="11">
        <v>16</v>
      </c>
      <c r="B151" s="6">
        <v>56.0839608</v>
      </c>
      <c r="C151" s="6">
        <v>178.3125306</v>
      </c>
      <c r="D151" s="7">
        <v>5.6083959999999999</v>
      </c>
    </row>
    <row r="152" spans="1:18" ht="15.75" thickBot="1" x14ac:dyDescent="0.3"/>
    <row r="153" spans="1:18" ht="15" customHeight="1" x14ac:dyDescent="0.25">
      <c r="A153" s="40" t="s">
        <v>23</v>
      </c>
      <c r="B153" s="41"/>
      <c r="C153" s="41"/>
      <c r="D153" s="42"/>
      <c r="F153" s="31" t="s">
        <v>37</v>
      </c>
      <c r="G153" s="32"/>
      <c r="H153" s="33"/>
    </row>
    <row r="154" spans="1:18" ht="15.75" customHeight="1" thickBot="1" x14ac:dyDescent="0.3">
      <c r="A154" s="76"/>
      <c r="B154" s="77"/>
      <c r="C154" s="77"/>
      <c r="D154" s="78"/>
      <c r="F154" s="34"/>
      <c r="G154" s="35"/>
      <c r="H154" s="36"/>
    </row>
    <row r="155" spans="1:18" ht="15.75" x14ac:dyDescent="0.25">
      <c r="A155" s="9" t="s">
        <v>24</v>
      </c>
      <c r="B155" s="8" t="s">
        <v>6</v>
      </c>
      <c r="C155" s="8" t="s">
        <v>7</v>
      </c>
      <c r="D155" s="10" t="s">
        <v>8</v>
      </c>
      <c r="F155" s="9" t="s">
        <v>38</v>
      </c>
      <c r="G155" s="8" t="s">
        <v>40</v>
      </c>
      <c r="H155" s="10" t="s">
        <v>39</v>
      </c>
    </row>
    <row r="156" spans="1:18" ht="16.5" thickBot="1" x14ac:dyDescent="0.3">
      <c r="A156" s="4">
        <v>1024</v>
      </c>
      <c r="B156" s="2">
        <v>0.14216960000000001</v>
      </c>
      <c r="C156" s="2">
        <v>7.2095311999999998</v>
      </c>
      <c r="D156" s="3" t="s">
        <v>9</v>
      </c>
      <c r="F156" s="11">
        <v>1481419</v>
      </c>
      <c r="G156" s="6">
        <v>16</v>
      </c>
      <c r="H156" s="7">
        <v>22.6</v>
      </c>
    </row>
    <row r="157" spans="1:18" ht="15.75" x14ac:dyDescent="0.25">
      <c r="A157" s="4">
        <v>8192</v>
      </c>
      <c r="B157" s="2">
        <v>0.1454848</v>
      </c>
      <c r="C157" s="2">
        <v>56.492311999999998</v>
      </c>
      <c r="D157" s="3" t="s">
        <v>9</v>
      </c>
    </row>
    <row r="158" spans="1:18" ht="15.75" x14ac:dyDescent="0.25">
      <c r="A158" s="4">
        <v>65536</v>
      </c>
      <c r="B158" s="2">
        <v>0.12950400000000001</v>
      </c>
      <c r="C158" s="2">
        <v>724.95949719999999</v>
      </c>
      <c r="D158" s="3" t="s">
        <v>9</v>
      </c>
    </row>
    <row r="159" spans="1:18" ht="15.75" x14ac:dyDescent="0.25">
      <c r="A159" s="4">
        <v>524288</v>
      </c>
      <c r="B159" s="2">
        <v>0.2058624</v>
      </c>
      <c r="C159" s="2">
        <v>2921.1268559999999</v>
      </c>
      <c r="D159" s="3" t="s">
        <v>10</v>
      </c>
      <c r="F159" s="14" t="s">
        <v>25</v>
      </c>
    </row>
    <row r="160" spans="1:18" ht="15.75" x14ac:dyDescent="0.25">
      <c r="A160" s="4">
        <v>1048576</v>
      </c>
      <c r="B160" s="2">
        <v>0.28604160000000001</v>
      </c>
      <c r="C160" s="2">
        <v>3670.4239750000002</v>
      </c>
      <c r="D160" s="3" t="s">
        <v>10</v>
      </c>
    </row>
    <row r="161" spans="1:18" ht="15.75" x14ac:dyDescent="0.25">
      <c r="A161" s="4">
        <v>5000000</v>
      </c>
      <c r="B161" s="2">
        <v>0.84730240000000001</v>
      </c>
      <c r="C161" s="2">
        <v>6028.9246089999997</v>
      </c>
      <c r="D161" s="3" t="s">
        <v>10</v>
      </c>
    </row>
    <row r="162" spans="1:18" ht="16.5" thickBot="1" x14ac:dyDescent="0.3">
      <c r="A162" s="5">
        <v>10000000</v>
      </c>
      <c r="B162" s="6">
        <v>1.4052287999999999</v>
      </c>
      <c r="C162" s="6">
        <v>7116.4638670000004</v>
      </c>
      <c r="D162" s="7" t="s">
        <v>10</v>
      </c>
    </row>
    <row r="164" spans="1:18" ht="15.75" thickBot="1" x14ac:dyDescent="0.3"/>
    <row r="165" spans="1:18" ht="15" customHeight="1" x14ac:dyDescent="0.25">
      <c r="A165" s="46" t="s">
        <v>27</v>
      </c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8"/>
    </row>
    <row r="166" spans="1:18" ht="15.75" customHeight="1" thickBot="1" x14ac:dyDescent="0.3">
      <c r="A166" s="49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1"/>
    </row>
    <row r="167" spans="1:18" ht="15" customHeight="1" x14ac:dyDescent="0.25">
      <c r="A167" s="64" t="s">
        <v>19</v>
      </c>
      <c r="B167" s="65"/>
      <c r="C167" s="65"/>
      <c r="D167" s="66"/>
      <c r="E167" s="70" t="s">
        <v>17</v>
      </c>
      <c r="F167" s="71"/>
      <c r="G167" s="71"/>
      <c r="H167" s="72"/>
      <c r="I167" s="58" t="s">
        <v>5</v>
      </c>
      <c r="J167" s="59"/>
      <c r="K167" s="59"/>
      <c r="L167" s="59"/>
      <c r="M167" s="59"/>
      <c r="N167" s="59"/>
      <c r="O167" s="59"/>
      <c r="P167" s="59"/>
      <c r="Q167" s="59"/>
      <c r="R167" s="60"/>
    </row>
    <row r="168" spans="1:18" ht="15.75" customHeight="1" thickBot="1" x14ac:dyDescent="0.3">
      <c r="A168" s="52"/>
      <c r="B168" s="53"/>
      <c r="C168" s="53"/>
      <c r="D168" s="54"/>
      <c r="E168" s="55"/>
      <c r="F168" s="56"/>
      <c r="G168" s="56"/>
      <c r="H168" s="57"/>
      <c r="I168" s="61"/>
      <c r="J168" s="62"/>
      <c r="K168" s="62"/>
      <c r="L168" s="62"/>
      <c r="M168" s="62"/>
      <c r="N168" s="62"/>
      <c r="O168" s="62"/>
      <c r="P168" s="62"/>
      <c r="Q168" s="62"/>
      <c r="R168" s="63"/>
    </row>
    <row r="169" spans="1:18" ht="15.75" x14ac:dyDescent="0.25">
      <c r="A169" s="9" t="s">
        <v>20</v>
      </c>
      <c r="B169" s="8" t="s">
        <v>6</v>
      </c>
      <c r="C169" s="8" t="s">
        <v>7</v>
      </c>
      <c r="D169" s="10" t="s">
        <v>21</v>
      </c>
      <c r="E169" s="9" t="s">
        <v>18</v>
      </c>
      <c r="F169" s="8" t="s">
        <v>6</v>
      </c>
      <c r="G169" s="8" t="s">
        <v>7</v>
      </c>
      <c r="H169" s="10" t="s">
        <v>8</v>
      </c>
      <c r="I169" s="9" t="s">
        <v>0</v>
      </c>
      <c r="J169" s="8" t="s">
        <v>18</v>
      </c>
      <c r="K169" s="8" t="s">
        <v>11</v>
      </c>
      <c r="L169" s="8" t="s">
        <v>12</v>
      </c>
      <c r="M169" s="8" t="s">
        <v>13</v>
      </c>
      <c r="N169" s="8" t="s">
        <v>1</v>
      </c>
      <c r="O169" s="8" t="s">
        <v>2</v>
      </c>
      <c r="P169" s="8" t="s">
        <v>3</v>
      </c>
      <c r="Q169" s="8" t="s">
        <v>22</v>
      </c>
      <c r="R169" s="10" t="s">
        <v>4</v>
      </c>
    </row>
    <row r="170" spans="1:18" ht="16.5" thickBot="1" x14ac:dyDescent="0.3">
      <c r="A170" s="1">
        <v>1</v>
      </c>
      <c r="B170" s="2">
        <v>84.781139999999994</v>
      </c>
      <c r="C170" s="2">
        <v>11.810342800000001</v>
      </c>
      <c r="D170" s="3">
        <v>84.781139999999994</v>
      </c>
      <c r="E170" s="1">
        <v>2</v>
      </c>
      <c r="F170" s="2">
        <v>1.5573824000000001</v>
      </c>
      <c r="G170" s="2">
        <v>643.41606479999996</v>
      </c>
      <c r="H170" s="3" t="s">
        <v>9</v>
      </c>
      <c r="I170" s="21">
        <v>1000000</v>
      </c>
      <c r="J170" s="22">
        <v>2</v>
      </c>
      <c r="K170" s="15">
        <v>0.8790848</v>
      </c>
      <c r="L170" s="15">
        <v>0.8790848</v>
      </c>
      <c r="M170" s="15">
        <v>1137.967774</v>
      </c>
      <c r="N170" s="15">
        <f>SUM(M170/K173)</f>
        <v>13.236993372591785</v>
      </c>
      <c r="O170" s="6">
        <f>SUM(((I170/(Q170/1000))/1000000)/N173)</f>
        <v>1.9438468417999273</v>
      </c>
      <c r="P170" s="6">
        <v>2.4375100000000001</v>
      </c>
      <c r="Q170" s="6">
        <v>7.0790800000000003</v>
      </c>
      <c r="R170" s="7">
        <v>8.0625330000000002</v>
      </c>
    </row>
    <row r="171" spans="1:18" ht="15.75" x14ac:dyDescent="0.25">
      <c r="A171" s="1">
        <v>2</v>
      </c>
      <c r="B171" s="2">
        <v>44.526220600000002</v>
      </c>
      <c r="C171" s="2">
        <v>22.593132600000001</v>
      </c>
      <c r="D171" s="3">
        <v>44.526220600000002</v>
      </c>
      <c r="E171" s="1">
        <v>3</v>
      </c>
      <c r="F171" s="2">
        <v>0.77327360000000001</v>
      </c>
      <c r="G171" s="2">
        <v>1293.2365480000001</v>
      </c>
      <c r="H171" s="12" t="s">
        <v>10</v>
      </c>
      <c r="I171" s="37" t="s">
        <v>28</v>
      </c>
      <c r="J171" s="38"/>
      <c r="K171" s="39"/>
      <c r="L171" s="37" t="s">
        <v>36</v>
      </c>
      <c r="M171" s="38"/>
      <c r="N171" s="39"/>
    </row>
    <row r="172" spans="1:18" ht="16.5" thickBot="1" x14ac:dyDescent="0.3">
      <c r="A172" s="4">
        <v>4</v>
      </c>
      <c r="B172" s="2">
        <v>22.9657804</v>
      </c>
      <c r="C172" s="2">
        <v>43.7706728</v>
      </c>
      <c r="D172" s="3">
        <v>22.9657804</v>
      </c>
      <c r="E172" s="11">
        <v>4</v>
      </c>
      <c r="F172" s="6">
        <v>0.74631040000000004</v>
      </c>
      <c r="G172" s="6">
        <v>1348.4531489999999</v>
      </c>
      <c r="H172" s="20" t="s">
        <v>10</v>
      </c>
      <c r="I172" s="23" t="s">
        <v>29</v>
      </c>
      <c r="J172" s="24" t="s">
        <v>31</v>
      </c>
      <c r="K172" s="29" t="s">
        <v>30</v>
      </c>
      <c r="L172" s="23" t="s">
        <v>33</v>
      </c>
      <c r="M172" s="24" t="s">
        <v>34</v>
      </c>
      <c r="N172" s="25" t="s">
        <v>35</v>
      </c>
    </row>
    <row r="173" spans="1:18" ht="16.5" thickBot="1" x14ac:dyDescent="0.3">
      <c r="A173" s="1">
        <v>8</v>
      </c>
      <c r="B173" s="2">
        <v>12.506259999999999</v>
      </c>
      <c r="C173" s="2">
        <v>80.557293599999994</v>
      </c>
      <c r="D173" s="3">
        <v>12.506259999999999</v>
      </c>
      <c r="I173" s="26">
        <v>37.157894740000003</v>
      </c>
      <c r="J173" s="27">
        <v>9.7894736840000007</v>
      </c>
      <c r="K173" s="30">
        <v>85.96875</v>
      </c>
      <c r="L173" s="26">
        <v>70.566666670000004</v>
      </c>
      <c r="M173" s="27">
        <v>79.916666669999998</v>
      </c>
      <c r="N173" s="28">
        <v>72.671000000000006</v>
      </c>
    </row>
    <row r="174" spans="1:18" ht="16.5" thickBot="1" x14ac:dyDescent="0.3">
      <c r="A174" s="11">
        <v>16</v>
      </c>
      <c r="B174" s="6">
        <v>9.6722999999999999</v>
      </c>
      <c r="C174" s="6">
        <v>107.07529599999999</v>
      </c>
      <c r="D174" s="7">
        <v>9.6722999999999999</v>
      </c>
    </row>
    <row r="175" spans="1:18" ht="15.75" thickBot="1" x14ac:dyDescent="0.3"/>
    <row r="176" spans="1:18" ht="15" customHeight="1" x14ac:dyDescent="0.25">
      <c r="A176" s="64" t="s">
        <v>19</v>
      </c>
      <c r="B176" s="65"/>
      <c r="C176" s="65"/>
      <c r="D176" s="66"/>
      <c r="E176" s="70" t="s">
        <v>17</v>
      </c>
      <c r="F176" s="71"/>
      <c r="G176" s="71"/>
      <c r="H176" s="72"/>
      <c r="I176" s="58" t="s">
        <v>5</v>
      </c>
      <c r="J176" s="59"/>
      <c r="K176" s="59"/>
      <c r="L176" s="59"/>
      <c r="M176" s="59"/>
      <c r="N176" s="59"/>
      <c r="O176" s="59"/>
      <c r="P176" s="59"/>
      <c r="Q176" s="59"/>
      <c r="R176" s="60"/>
    </row>
    <row r="177" spans="1:18" ht="15.75" customHeight="1" thickBot="1" x14ac:dyDescent="0.3">
      <c r="A177" s="52"/>
      <c r="B177" s="53"/>
      <c r="C177" s="53"/>
      <c r="D177" s="54"/>
      <c r="E177" s="55"/>
      <c r="F177" s="56"/>
      <c r="G177" s="56"/>
      <c r="H177" s="57"/>
      <c r="I177" s="61"/>
      <c r="J177" s="62"/>
      <c r="K177" s="62"/>
      <c r="L177" s="62"/>
      <c r="M177" s="62"/>
      <c r="N177" s="62"/>
      <c r="O177" s="62"/>
      <c r="P177" s="62"/>
      <c r="Q177" s="62"/>
      <c r="R177" s="63"/>
    </row>
    <row r="178" spans="1:18" ht="15.75" x14ac:dyDescent="0.25">
      <c r="A178" s="9" t="s">
        <v>20</v>
      </c>
      <c r="B178" s="8" t="s">
        <v>6</v>
      </c>
      <c r="C178" s="8" t="s">
        <v>7</v>
      </c>
      <c r="D178" s="10" t="s">
        <v>21</v>
      </c>
      <c r="E178" s="9" t="s">
        <v>18</v>
      </c>
      <c r="F178" s="8" t="s">
        <v>6</v>
      </c>
      <c r="G178" s="8" t="s">
        <v>7</v>
      </c>
      <c r="H178" s="10" t="s">
        <v>8</v>
      </c>
      <c r="I178" s="9" t="s">
        <v>0</v>
      </c>
      <c r="J178" s="8" t="s">
        <v>18</v>
      </c>
      <c r="K178" s="8" t="s">
        <v>11</v>
      </c>
      <c r="L178" s="8" t="s">
        <v>12</v>
      </c>
      <c r="M178" s="8" t="s">
        <v>13</v>
      </c>
      <c r="N178" s="8" t="s">
        <v>1</v>
      </c>
      <c r="O178" s="8" t="s">
        <v>2</v>
      </c>
      <c r="P178" s="8" t="s">
        <v>3</v>
      </c>
      <c r="Q178" s="8" t="s">
        <v>22</v>
      </c>
      <c r="R178" s="10" t="s">
        <v>4</v>
      </c>
    </row>
    <row r="179" spans="1:18" ht="16.5" thickBot="1" x14ac:dyDescent="0.3">
      <c r="A179" s="1">
        <v>1</v>
      </c>
      <c r="B179" s="2">
        <v>420.20208120000001</v>
      </c>
      <c r="C179" s="2">
        <v>11.901416599999999</v>
      </c>
      <c r="D179" s="3">
        <v>84.040417399999995</v>
      </c>
      <c r="E179" s="1">
        <v>2</v>
      </c>
      <c r="F179" s="2">
        <v>3.9325632000000001</v>
      </c>
      <c r="G179" s="2">
        <v>1287.7953130000001</v>
      </c>
      <c r="H179" s="3" t="s">
        <v>10</v>
      </c>
      <c r="I179" s="21">
        <v>5000000</v>
      </c>
      <c r="J179" s="22">
        <v>2</v>
      </c>
      <c r="K179" s="15">
        <v>0.73844080000000001</v>
      </c>
      <c r="L179" s="15">
        <v>3.6922047999999998</v>
      </c>
      <c r="M179" s="15">
        <v>1354.2798339999999</v>
      </c>
      <c r="N179" s="15">
        <f>SUM(M179/K182)</f>
        <v>11.766845207633652</v>
      </c>
      <c r="O179" s="6">
        <f>SUM(((I179/(Q179/1000))/1000000)/N182)</f>
        <v>1.7946569557904857</v>
      </c>
      <c r="P179" s="6">
        <v>2.8101563999999999</v>
      </c>
      <c r="Q179" s="6">
        <v>34.323540199999997</v>
      </c>
      <c r="R179" s="7">
        <v>9.2951327999999993</v>
      </c>
    </row>
    <row r="180" spans="1:18" ht="15.75" x14ac:dyDescent="0.25">
      <c r="A180" s="1">
        <v>2</v>
      </c>
      <c r="B180" s="2">
        <v>207.8092834</v>
      </c>
      <c r="C180" s="2">
        <v>24.0646232</v>
      </c>
      <c r="D180" s="3">
        <v>41.561856200000001</v>
      </c>
      <c r="E180" s="1">
        <v>3</v>
      </c>
      <c r="F180" s="2">
        <v>3.5012607999999998</v>
      </c>
      <c r="G180" s="2">
        <v>1447.8005860000001</v>
      </c>
      <c r="H180" s="12" t="s">
        <v>10</v>
      </c>
      <c r="I180" s="37" t="s">
        <v>28</v>
      </c>
      <c r="J180" s="38"/>
      <c r="K180" s="39"/>
      <c r="L180" s="37" t="s">
        <v>36</v>
      </c>
      <c r="M180" s="38"/>
      <c r="N180" s="39"/>
    </row>
    <row r="181" spans="1:18" ht="16.5" thickBot="1" x14ac:dyDescent="0.3">
      <c r="A181" s="4">
        <v>4</v>
      </c>
      <c r="B181" s="2">
        <v>104.07832019999999</v>
      </c>
      <c r="C181" s="2">
        <v>48.063893200000003</v>
      </c>
      <c r="D181" s="3">
        <v>20.815663600000001</v>
      </c>
      <c r="E181" s="11">
        <v>4</v>
      </c>
      <c r="F181" s="6">
        <v>3.5177407999999999</v>
      </c>
      <c r="G181" s="6">
        <v>1446.554883</v>
      </c>
      <c r="H181" s="20" t="s">
        <v>10</v>
      </c>
      <c r="I181" s="23" t="s">
        <v>29</v>
      </c>
      <c r="J181" s="24" t="s">
        <v>31</v>
      </c>
      <c r="K181" s="29" t="s">
        <v>30</v>
      </c>
      <c r="L181" s="23" t="s">
        <v>33</v>
      </c>
      <c r="M181" s="24" t="s">
        <v>34</v>
      </c>
      <c r="N181" s="25" t="s">
        <v>35</v>
      </c>
    </row>
    <row r="182" spans="1:18" ht="16.5" thickBot="1" x14ac:dyDescent="0.3">
      <c r="A182" s="1">
        <v>8</v>
      </c>
      <c r="B182" s="2">
        <v>55.917278799999998</v>
      </c>
      <c r="C182" s="2">
        <v>89.428367800000004</v>
      </c>
      <c r="D182" s="3">
        <v>11.183456</v>
      </c>
      <c r="I182" s="26">
        <v>69.717391300000003</v>
      </c>
      <c r="J182" s="27">
        <v>18.804347830000001</v>
      </c>
      <c r="K182" s="30">
        <v>115.0928571</v>
      </c>
      <c r="L182" s="26">
        <v>94.93</v>
      </c>
      <c r="M182" s="27">
        <v>106.8</v>
      </c>
      <c r="N182" s="28">
        <v>81.170175</v>
      </c>
    </row>
    <row r="183" spans="1:18" ht="16.5" thickBot="1" x14ac:dyDescent="0.3">
      <c r="A183" s="11">
        <v>16</v>
      </c>
      <c r="B183" s="6">
        <v>35.14264</v>
      </c>
      <c r="C183" s="6">
        <v>142.3322632</v>
      </c>
      <c r="D183" s="7">
        <v>7.0285279999999997</v>
      </c>
    </row>
    <row r="184" spans="1:18" ht="15.75" thickBot="1" x14ac:dyDescent="0.3"/>
    <row r="185" spans="1:18" ht="15" customHeight="1" x14ac:dyDescent="0.25">
      <c r="A185" s="64" t="s">
        <v>19</v>
      </c>
      <c r="B185" s="65"/>
      <c r="C185" s="65"/>
      <c r="D185" s="66"/>
      <c r="E185" s="70" t="s">
        <v>17</v>
      </c>
      <c r="F185" s="71"/>
      <c r="G185" s="71"/>
      <c r="H185" s="72"/>
      <c r="I185" s="58" t="s">
        <v>5</v>
      </c>
      <c r="J185" s="59"/>
      <c r="K185" s="59"/>
      <c r="L185" s="59"/>
      <c r="M185" s="59"/>
      <c r="N185" s="59"/>
      <c r="O185" s="59"/>
      <c r="P185" s="59"/>
      <c r="Q185" s="59"/>
      <c r="R185" s="60"/>
    </row>
    <row r="186" spans="1:18" ht="15.75" customHeight="1" thickBot="1" x14ac:dyDescent="0.3">
      <c r="A186" s="52"/>
      <c r="B186" s="53"/>
      <c r="C186" s="53"/>
      <c r="D186" s="54"/>
      <c r="E186" s="55"/>
      <c r="F186" s="56"/>
      <c r="G186" s="56"/>
      <c r="H186" s="57"/>
      <c r="I186" s="61"/>
      <c r="J186" s="62"/>
      <c r="K186" s="62"/>
      <c r="L186" s="62"/>
      <c r="M186" s="62"/>
      <c r="N186" s="62"/>
      <c r="O186" s="62"/>
      <c r="P186" s="62"/>
      <c r="Q186" s="62"/>
      <c r="R186" s="63"/>
    </row>
    <row r="187" spans="1:18" ht="15.75" x14ac:dyDescent="0.25">
      <c r="A187" s="9" t="s">
        <v>20</v>
      </c>
      <c r="B187" s="8" t="s">
        <v>6</v>
      </c>
      <c r="C187" s="8" t="s">
        <v>7</v>
      </c>
      <c r="D187" s="10" t="s">
        <v>21</v>
      </c>
      <c r="E187" s="9" t="s">
        <v>18</v>
      </c>
      <c r="F187" s="8" t="s">
        <v>6</v>
      </c>
      <c r="G187" s="8" t="s">
        <v>7</v>
      </c>
      <c r="H187" s="10" t="s">
        <v>8</v>
      </c>
      <c r="I187" s="9" t="s">
        <v>0</v>
      </c>
      <c r="J187" s="8" t="s">
        <v>18</v>
      </c>
      <c r="K187" s="8" t="s">
        <v>11</v>
      </c>
      <c r="L187" s="8" t="s">
        <v>12</v>
      </c>
      <c r="M187" s="8" t="s">
        <v>13</v>
      </c>
      <c r="N187" s="8" t="s">
        <v>1</v>
      </c>
      <c r="O187" s="8" t="s">
        <v>2</v>
      </c>
      <c r="P187" s="8" t="s">
        <v>3</v>
      </c>
      <c r="Q187" s="8" t="s">
        <v>22</v>
      </c>
      <c r="R187" s="10" t="s">
        <v>4</v>
      </c>
    </row>
    <row r="188" spans="1:18" ht="16.5" thickBot="1" x14ac:dyDescent="0.3">
      <c r="A188" s="1">
        <v>1</v>
      </c>
      <c r="B188" s="2">
        <v>830.75361320000002</v>
      </c>
      <c r="C188" s="2">
        <v>12.0379378</v>
      </c>
      <c r="D188" s="3">
        <v>83.075361400000006</v>
      </c>
      <c r="E188" s="1">
        <v>2</v>
      </c>
      <c r="F188" s="2">
        <v>7.3713727999999996</v>
      </c>
      <c r="G188" s="2">
        <v>1357.938598</v>
      </c>
      <c r="H188" s="3" t="s">
        <v>10</v>
      </c>
      <c r="I188" s="21">
        <v>10000000</v>
      </c>
      <c r="J188" s="22">
        <v>2</v>
      </c>
      <c r="K188" s="15">
        <v>0.72050499999999995</v>
      </c>
      <c r="L188" s="15">
        <v>7.2050495999999997</v>
      </c>
      <c r="M188" s="15">
        <v>1387.943066</v>
      </c>
      <c r="N188" s="15">
        <f>SUM(M188/K191)</f>
        <v>11.088160840261807</v>
      </c>
      <c r="O188" s="6">
        <f>SUM(((I188/(Q188/1000))/1000000)/N191)</f>
        <v>1.864438138258131</v>
      </c>
      <c r="P188" s="6">
        <v>2.7436536</v>
      </c>
      <c r="Q188" s="6">
        <v>65.384499399999996</v>
      </c>
      <c r="R188" s="7">
        <v>9.0751618000000001</v>
      </c>
    </row>
    <row r="189" spans="1:18" ht="15.75" x14ac:dyDescent="0.25">
      <c r="A189" s="1">
        <v>2</v>
      </c>
      <c r="B189" s="2">
        <v>409.53444200000001</v>
      </c>
      <c r="C189" s="2">
        <v>24.418267400000001</v>
      </c>
      <c r="D189" s="3">
        <v>40.953443800000002</v>
      </c>
      <c r="E189" s="1">
        <v>3</v>
      </c>
      <c r="F189" s="2">
        <v>6.8156096000000002</v>
      </c>
      <c r="G189" s="2">
        <v>1469.698975</v>
      </c>
      <c r="H189" s="12" t="s">
        <v>10</v>
      </c>
      <c r="I189" s="37" t="s">
        <v>28</v>
      </c>
      <c r="J189" s="38"/>
      <c r="K189" s="39"/>
      <c r="L189" s="37" t="s">
        <v>36</v>
      </c>
      <c r="M189" s="38"/>
      <c r="N189" s="39"/>
    </row>
    <row r="190" spans="1:18" ht="16.5" thickBot="1" x14ac:dyDescent="0.3">
      <c r="A190" s="4">
        <v>4</v>
      </c>
      <c r="B190" s="2">
        <v>206.98897700000001</v>
      </c>
      <c r="C190" s="2">
        <v>48.312304599999997</v>
      </c>
      <c r="D190" s="3">
        <v>20.698898</v>
      </c>
      <c r="E190" s="11">
        <v>4</v>
      </c>
      <c r="F190" s="6">
        <v>6.1556351999999999</v>
      </c>
      <c r="G190" s="6">
        <v>1626.46875</v>
      </c>
      <c r="H190" s="20" t="s">
        <v>10</v>
      </c>
      <c r="I190" s="23" t="s">
        <v>29</v>
      </c>
      <c r="J190" s="24" t="s">
        <v>31</v>
      </c>
      <c r="K190" s="29" t="s">
        <v>30</v>
      </c>
      <c r="L190" s="23" t="s">
        <v>33</v>
      </c>
      <c r="M190" s="24" t="s">
        <v>34</v>
      </c>
      <c r="N190" s="25" t="s">
        <v>35</v>
      </c>
    </row>
    <row r="191" spans="1:18" ht="16.5" thickBot="1" x14ac:dyDescent="0.3">
      <c r="A191" s="1">
        <v>8</v>
      </c>
      <c r="B191" s="2">
        <v>110.0355802</v>
      </c>
      <c r="C191" s="2">
        <v>90.899801800000006</v>
      </c>
      <c r="D191" s="3">
        <v>11.003558</v>
      </c>
      <c r="I191" s="26">
        <v>87.041095889999994</v>
      </c>
      <c r="J191" s="27">
        <v>23.794520550000001</v>
      </c>
      <c r="K191" s="30">
        <v>125.1734247</v>
      </c>
      <c r="L191" s="26">
        <v>98.616216219999998</v>
      </c>
      <c r="M191" s="27">
        <v>110.7283784</v>
      </c>
      <c r="N191" s="28">
        <v>82.030851350000006</v>
      </c>
    </row>
    <row r="192" spans="1:18" ht="16.5" thickBot="1" x14ac:dyDescent="0.3">
      <c r="A192" s="11">
        <v>16</v>
      </c>
      <c r="B192" s="6">
        <v>66.779118400000002</v>
      </c>
      <c r="C192" s="6">
        <v>149.81308899999999</v>
      </c>
      <c r="D192" s="7">
        <v>6.6779118000000004</v>
      </c>
    </row>
    <row r="193" spans="1:8" ht="15.75" thickBot="1" x14ac:dyDescent="0.3"/>
    <row r="194" spans="1:8" ht="15" customHeight="1" x14ac:dyDescent="0.25">
      <c r="A194" s="40" t="s">
        <v>23</v>
      </c>
      <c r="B194" s="41"/>
      <c r="C194" s="41"/>
      <c r="D194" s="42"/>
      <c r="F194" s="31" t="s">
        <v>37</v>
      </c>
      <c r="G194" s="32"/>
      <c r="H194" s="33"/>
    </row>
    <row r="195" spans="1:8" ht="15.75" customHeight="1" thickBot="1" x14ac:dyDescent="0.3">
      <c r="A195" s="76"/>
      <c r="B195" s="77"/>
      <c r="C195" s="77"/>
      <c r="D195" s="78"/>
      <c r="F195" s="34"/>
      <c r="G195" s="35"/>
      <c r="H195" s="36"/>
    </row>
    <row r="196" spans="1:8" ht="15.75" x14ac:dyDescent="0.25">
      <c r="A196" s="9" t="s">
        <v>24</v>
      </c>
      <c r="B196" s="8" t="s">
        <v>6</v>
      </c>
      <c r="C196" s="8" t="s">
        <v>7</v>
      </c>
      <c r="D196" s="10" t="s">
        <v>8</v>
      </c>
      <c r="F196" s="9" t="s">
        <v>38</v>
      </c>
      <c r="G196" s="8" t="s">
        <v>40</v>
      </c>
      <c r="H196" s="10" t="s">
        <v>39</v>
      </c>
    </row>
    <row r="197" spans="1:8" ht="16.5" thickBot="1" x14ac:dyDescent="0.3">
      <c r="A197" s="4">
        <v>1024</v>
      </c>
      <c r="B197" s="2">
        <v>0.14613760000000001</v>
      </c>
      <c r="C197" s="2">
        <v>7.016559</v>
      </c>
      <c r="D197" s="3" t="s">
        <v>9</v>
      </c>
      <c r="F197" s="11">
        <v>2793343</v>
      </c>
      <c r="G197" s="6">
        <v>16</v>
      </c>
      <c r="H197" s="7">
        <v>42.62</v>
      </c>
    </row>
    <row r="198" spans="1:8" ht="15.75" x14ac:dyDescent="0.25">
      <c r="A198" s="4">
        <v>8192</v>
      </c>
      <c r="B198" s="2">
        <v>0.156448</v>
      </c>
      <c r="C198" s="2">
        <v>52.411659200000003</v>
      </c>
      <c r="D198" s="3" t="s">
        <v>9</v>
      </c>
    </row>
    <row r="199" spans="1:8" ht="15.75" x14ac:dyDescent="0.25">
      <c r="A199" s="4">
        <v>65536</v>
      </c>
      <c r="B199" s="2">
        <v>0.18611839999999999</v>
      </c>
      <c r="C199" s="2">
        <v>352.5118468</v>
      </c>
      <c r="D199" s="3" t="s">
        <v>9</v>
      </c>
    </row>
    <row r="200" spans="1:8" ht="15.75" x14ac:dyDescent="0.25">
      <c r="A200" s="4">
        <v>524288</v>
      </c>
      <c r="B200" s="2">
        <v>0.26247039999999999</v>
      </c>
      <c r="C200" s="2">
        <v>2002.4383789999999</v>
      </c>
      <c r="D200" s="3" t="s">
        <v>10</v>
      </c>
      <c r="F200" s="14" t="s">
        <v>25</v>
      </c>
    </row>
    <row r="201" spans="1:8" ht="15.75" x14ac:dyDescent="0.25">
      <c r="A201" s="4">
        <v>1048576</v>
      </c>
      <c r="B201" s="2">
        <v>0.49142400000000003</v>
      </c>
      <c r="C201" s="2">
        <v>2151.923389</v>
      </c>
      <c r="D201" s="3" t="s">
        <v>10</v>
      </c>
    </row>
    <row r="202" spans="1:8" ht="15.75" x14ac:dyDescent="0.25">
      <c r="A202" s="4">
        <v>5000000</v>
      </c>
      <c r="B202" s="2">
        <v>2.2159871999999998</v>
      </c>
      <c r="C202" s="2">
        <v>2279.2349850000001</v>
      </c>
      <c r="D202" s="3" t="s">
        <v>10</v>
      </c>
    </row>
    <row r="203" spans="1:8" ht="16.5" thickBot="1" x14ac:dyDescent="0.3">
      <c r="A203" s="5">
        <v>10000000</v>
      </c>
      <c r="B203" s="6">
        <v>4.0145920000000004</v>
      </c>
      <c r="C203" s="6">
        <v>2490.9184570000002</v>
      </c>
      <c r="D203" s="7" t="s">
        <v>10</v>
      </c>
    </row>
  </sheetData>
  <mergeCells count="90">
    <mergeCell ref="L98:N98"/>
    <mergeCell ref="L107:N107"/>
    <mergeCell ref="L130:N130"/>
    <mergeCell ref="L139:N139"/>
    <mergeCell ref="L148:N148"/>
    <mergeCell ref="A185:D186"/>
    <mergeCell ref="E185:H186"/>
    <mergeCell ref="I185:R186"/>
    <mergeCell ref="A194:D195"/>
    <mergeCell ref="A167:D168"/>
    <mergeCell ref="E167:H168"/>
    <mergeCell ref="I167:R168"/>
    <mergeCell ref="A176:D177"/>
    <mergeCell ref="E176:H177"/>
    <mergeCell ref="I176:R177"/>
    <mergeCell ref="I171:K171"/>
    <mergeCell ref="I180:K180"/>
    <mergeCell ref="I189:K189"/>
    <mergeCell ref="L171:N171"/>
    <mergeCell ref="L180:N180"/>
    <mergeCell ref="L189:N189"/>
    <mergeCell ref="A144:D145"/>
    <mergeCell ref="E144:H145"/>
    <mergeCell ref="I144:R145"/>
    <mergeCell ref="A153:D154"/>
    <mergeCell ref="A165:R166"/>
    <mergeCell ref="F153:H154"/>
    <mergeCell ref="A126:D127"/>
    <mergeCell ref="E126:H127"/>
    <mergeCell ref="I126:R127"/>
    <mergeCell ref="A135:D136"/>
    <mergeCell ref="E135:H136"/>
    <mergeCell ref="I135:R136"/>
    <mergeCell ref="A103:D104"/>
    <mergeCell ref="E103:H104"/>
    <mergeCell ref="I103:R104"/>
    <mergeCell ref="A112:D113"/>
    <mergeCell ref="A124:R125"/>
    <mergeCell ref="F112:H113"/>
    <mergeCell ref="A94:D95"/>
    <mergeCell ref="E94:H95"/>
    <mergeCell ref="I94:R95"/>
    <mergeCell ref="I89:K89"/>
    <mergeCell ref="A62:D63"/>
    <mergeCell ref="E62:H63"/>
    <mergeCell ref="I62:R63"/>
    <mergeCell ref="A71:D72"/>
    <mergeCell ref="F71:H72"/>
    <mergeCell ref="L66:N66"/>
    <mergeCell ref="L89:N89"/>
    <mergeCell ref="A83:R84"/>
    <mergeCell ref="A85:D86"/>
    <mergeCell ref="E85:H86"/>
    <mergeCell ref="I85:R86"/>
    <mergeCell ref="I48:K48"/>
    <mergeCell ref="I57:K57"/>
    <mergeCell ref="I66:K66"/>
    <mergeCell ref="E21:H22"/>
    <mergeCell ref="I21:R22"/>
    <mergeCell ref="L25:N25"/>
    <mergeCell ref="L48:N48"/>
    <mergeCell ref="L57:N57"/>
    <mergeCell ref="A42:R43"/>
    <mergeCell ref="A44:D45"/>
    <mergeCell ref="E44:H45"/>
    <mergeCell ref="I44:R45"/>
    <mergeCell ref="A53:D54"/>
    <mergeCell ref="E53:H54"/>
    <mergeCell ref="I53:R54"/>
    <mergeCell ref="A30:D31"/>
    <mergeCell ref="A1:R2"/>
    <mergeCell ref="A3:D4"/>
    <mergeCell ref="E3:H4"/>
    <mergeCell ref="I3:R4"/>
    <mergeCell ref="A12:D13"/>
    <mergeCell ref="E12:H13"/>
    <mergeCell ref="I12:R13"/>
    <mergeCell ref="A21:D22"/>
    <mergeCell ref="I7:K7"/>
    <mergeCell ref="I25:K25"/>
    <mergeCell ref="I16:K16"/>
    <mergeCell ref="L7:N7"/>
    <mergeCell ref="L16:N16"/>
    <mergeCell ref="F30:H31"/>
    <mergeCell ref="F194:H195"/>
    <mergeCell ref="I98:K98"/>
    <mergeCell ref="I107:K107"/>
    <mergeCell ref="I130:K130"/>
    <mergeCell ref="I139:K139"/>
    <mergeCell ref="I148:K14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Jakubička</dc:creator>
  <cp:lastModifiedBy>Erik Jakubička</cp:lastModifiedBy>
  <dcterms:created xsi:type="dcterms:W3CDTF">2026-03-22T11:18:18Z</dcterms:created>
  <dcterms:modified xsi:type="dcterms:W3CDTF">2026-05-06T21:46:23Z</dcterms:modified>
</cp:coreProperties>
</file>